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FYP (Dr Foo)\PROTOTYPE RESULTS\Prototype\"/>
    </mc:Choice>
  </mc:AlternateContent>
  <xr:revisionPtr revIDLastSave="0" documentId="13_ncr:1_{DDF62C18-9D12-4F23-8E76-B920BB616A02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totype_Weekday" sheetId="7" r:id="rId1"/>
    <sheet name="v1" sheetId="1" r:id="rId2"/>
    <sheet name="MMU Mon - Fri" sheetId="4" r:id="rId3"/>
    <sheet name="MMU Sat - Sun" sheetId="5" r:id="rId4"/>
    <sheet name="Design" sheetId="2" r:id="rId5"/>
    <sheet name="Design_v2" sheetId="9" r:id="rId6"/>
  </sheets>
  <definedNames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2" i="9" l="1"/>
  <c r="F12" i="7" l="1"/>
  <c r="D12" i="7"/>
  <c r="C14" i="1"/>
  <c r="D14" i="1" s="1"/>
  <c r="C15" i="1"/>
  <c r="D15" i="1" s="1"/>
  <c r="C16" i="1"/>
  <c r="D16" i="1" s="1"/>
  <c r="C17" i="1"/>
  <c r="D17" i="1" s="1"/>
  <c r="C18" i="1"/>
  <c r="D18" i="1" s="1"/>
  <c r="C26" i="1"/>
  <c r="D26" i="1" s="1"/>
  <c r="C27" i="1"/>
  <c r="D27" i="1" s="1"/>
  <c r="C28" i="1"/>
  <c r="D28" i="1" s="1"/>
  <c r="C29" i="1"/>
  <c r="D29" i="1" s="1"/>
  <c r="C30" i="1"/>
  <c r="D30" i="1" s="1"/>
  <c r="C38" i="1"/>
  <c r="D38" i="1" s="1"/>
  <c r="C39" i="1"/>
  <c r="D39" i="1" s="1"/>
  <c r="C40" i="1"/>
  <c r="D40" i="1" s="1"/>
  <c r="C41" i="1"/>
  <c r="D41" i="1" s="1"/>
  <c r="C42" i="1"/>
  <c r="D42" i="1" s="1"/>
  <c r="C46" i="1"/>
  <c r="D46" i="1" s="1"/>
  <c r="C49" i="1"/>
  <c r="D49" i="1" s="1"/>
  <c r="C50" i="1"/>
  <c r="D50" i="1" s="1"/>
  <c r="C6" i="1"/>
  <c r="D6" i="1" s="1"/>
  <c r="B42" i="1"/>
  <c r="B43" i="1"/>
  <c r="C43" i="1" s="1"/>
  <c r="D43" i="1" s="1"/>
  <c r="B44" i="1"/>
  <c r="C44" i="1" s="1"/>
  <c r="D44" i="1" s="1"/>
  <c r="B45" i="1"/>
  <c r="C45" i="1" s="1"/>
  <c r="D45" i="1" s="1"/>
  <c r="B46" i="1"/>
  <c r="B47" i="1"/>
  <c r="C47" i="1" s="1"/>
  <c r="D47" i="1" s="1"/>
  <c r="B48" i="1"/>
  <c r="C48" i="1" s="1"/>
  <c r="D48" i="1" s="1"/>
  <c r="B49" i="1"/>
  <c r="B50" i="1"/>
  <c r="B8" i="1"/>
  <c r="C8" i="1" s="1"/>
  <c r="D8" i="1" s="1"/>
  <c r="B9" i="1"/>
  <c r="C9" i="1" s="1"/>
  <c r="D9" i="1" s="1"/>
  <c r="B10" i="1"/>
  <c r="C10" i="1" s="1"/>
  <c r="D10" i="1" s="1"/>
  <c r="B11" i="1"/>
  <c r="C11" i="1" s="1"/>
  <c r="D11" i="1" s="1"/>
  <c r="B12" i="1"/>
  <c r="C12" i="1" s="1"/>
  <c r="D12" i="1" s="1"/>
  <c r="B13" i="1"/>
  <c r="C13" i="1" s="1"/>
  <c r="D13" i="1" s="1"/>
  <c r="B14" i="1"/>
  <c r="B15" i="1"/>
  <c r="B16" i="1"/>
  <c r="B17" i="1"/>
  <c r="B18" i="1"/>
  <c r="B19" i="1"/>
  <c r="C19" i="1" s="1"/>
  <c r="D19" i="1" s="1"/>
  <c r="B20" i="1"/>
  <c r="C20" i="1" s="1"/>
  <c r="D20" i="1" s="1"/>
  <c r="B21" i="1"/>
  <c r="C21" i="1" s="1"/>
  <c r="D21" i="1" s="1"/>
  <c r="B22" i="1"/>
  <c r="C22" i="1" s="1"/>
  <c r="D22" i="1" s="1"/>
  <c r="B23" i="1"/>
  <c r="C23" i="1" s="1"/>
  <c r="D23" i="1" s="1"/>
  <c r="B24" i="1"/>
  <c r="C24" i="1" s="1"/>
  <c r="D24" i="1" s="1"/>
  <c r="B25" i="1"/>
  <c r="C25" i="1" s="1"/>
  <c r="D25" i="1" s="1"/>
  <c r="B26" i="1"/>
  <c r="B27" i="1"/>
  <c r="B28" i="1"/>
  <c r="B29" i="1"/>
  <c r="B30" i="1"/>
  <c r="B31" i="1"/>
  <c r="C31" i="1" s="1"/>
  <c r="D31" i="1" s="1"/>
  <c r="B32" i="1"/>
  <c r="C32" i="1" s="1"/>
  <c r="D32" i="1" s="1"/>
  <c r="B33" i="1"/>
  <c r="C33" i="1" s="1"/>
  <c r="D33" i="1" s="1"/>
  <c r="B34" i="1"/>
  <c r="C34" i="1" s="1"/>
  <c r="D34" i="1" s="1"/>
  <c r="B35" i="1"/>
  <c r="C35" i="1" s="1"/>
  <c r="D35" i="1" s="1"/>
  <c r="B36" i="1"/>
  <c r="C36" i="1" s="1"/>
  <c r="D36" i="1" s="1"/>
  <c r="B37" i="1"/>
  <c r="C37" i="1" s="1"/>
  <c r="D37" i="1" s="1"/>
  <c r="B38" i="1"/>
  <c r="B39" i="1"/>
  <c r="B40" i="1"/>
  <c r="B41" i="1"/>
  <c r="B7" i="1"/>
  <c r="C7" i="1" s="1"/>
  <c r="D7" i="1" s="1"/>
  <c r="B6" i="1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I9" i="1" l="1"/>
  <c r="F9" i="7" s="1"/>
  <c r="I8" i="1"/>
  <c r="F8" i="7" s="1"/>
  <c r="I7" i="1"/>
  <c r="F7" i="7" s="1"/>
</calcChain>
</file>

<file path=xl/sharedStrings.xml><?xml version="1.0" encoding="utf-8"?>
<sst xmlns="http://schemas.openxmlformats.org/spreadsheetml/2006/main" count="124" uniqueCount="90">
  <si>
    <t>Bus/Bas</t>
  </si>
  <si>
    <t>2nd</t>
  </si>
  <si>
    <t>3rd</t>
  </si>
  <si>
    <t>15 MAY 2025 (THU)</t>
  </si>
  <si>
    <t>Destination/Arah</t>
  </si>
  <si>
    <t>MRT Cyberjaya Utara</t>
  </si>
  <si>
    <t>Time/Masa</t>
  </si>
  <si>
    <t>10 min</t>
  </si>
  <si>
    <t>20 min</t>
  </si>
  <si>
    <t>30 min</t>
  </si>
  <si>
    <t>Element</t>
  </si>
  <si>
    <t>Colour</t>
  </si>
  <si>
    <t>Hex Code</t>
  </si>
  <si>
    <t>Background</t>
  </si>
  <si>
    <t>Black</t>
  </si>
  <si>
    <t> 000000</t>
  </si>
  <si>
    <t>Grey</t>
  </si>
  <si>
    <t> 404040</t>
  </si>
  <si>
    <t>Blue</t>
  </si>
  <si>
    <t> 0093FF</t>
  </si>
  <si>
    <t>Text</t>
  </si>
  <si>
    <t>White</t>
  </si>
  <si>
    <t> FFFFFF</t>
  </si>
  <si>
    <r>
      <t xml:space="preserve">Current Station: </t>
    </r>
    <r>
      <rPr>
        <b/>
        <sz val="11"/>
        <color theme="0"/>
        <rFont val="Calibri"/>
        <family val="2"/>
        <scheme val="minor"/>
      </rPr>
      <t>MMU</t>
    </r>
  </si>
  <si>
    <r>
      <t xml:space="preserve">Bus Route: </t>
    </r>
    <r>
      <rPr>
        <b/>
        <sz val="11"/>
        <color theme="0"/>
        <rFont val="Calibri"/>
        <family val="2"/>
        <scheme val="minor"/>
      </rPr>
      <t>T505</t>
    </r>
  </si>
  <si>
    <t>Method: Manual Spotting</t>
  </si>
  <si>
    <t>Trip</t>
  </si>
  <si>
    <t>Travel Time (hh:mm)</t>
  </si>
  <si>
    <t>DATE AND DAY</t>
  </si>
  <si>
    <t>TIME (24 hr format)</t>
  </si>
  <si>
    <t>NEXT</t>
  </si>
  <si>
    <t>1st Trip</t>
  </si>
  <si>
    <t>2nd Trip</t>
  </si>
  <si>
    <t>3rd Trip</t>
  </si>
  <si>
    <t>4th Trip</t>
  </si>
  <si>
    <t>5th Trip</t>
  </si>
  <si>
    <t>6th Trip</t>
  </si>
  <si>
    <t>7th Trip</t>
  </si>
  <si>
    <t>8th Trip</t>
  </si>
  <si>
    <t>9th Trip</t>
  </si>
  <si>
    <t>10th Trip</t>
  </si>
  <si>
    <t>11th Trip</t>
  </si>
  <si>
    <t>12th Trip</t>
  </si>
  <si>
    <t>13th Trip</t>
  </si>
  <si>
    <t>14th Trip</t>
  </si>
  <si>
    <t>15th Trip</t>
  </si>
  <si>
    <t>16th Trip</t>
  </si>
  <si>
    <t>17th Trip</t>
  </si>
  <si>
    <t>18th Trip</t>
  </si>
  <si>
    <t>19th Trip</t>
  </si>
  <si>
    <t>20th Trip</t>
  </si>
  <si>
    <t>21st Trip</t>
  </si>
  <si>
    <t>22nd Trip</t>
  </si>
  <si>
    <t>23rd Trip</t>
  </si>
  <si>
    <t>24th Trip</t>
  </si>
  <si>
    <t>25th Trip</t>
  </si>
  <si>
    <t>26th Trip</t>
  </si>
  <si>
    <t>27th Trip</t>
  </si>
  <si>
    <t>28th Trip</t>
  </si>
  <si>
    <t>29th Trip</t>
  </si>
  <si>
    <t>30th Trip</t>
  </si>
  <si>
    <t>31st Trip</t>
  </si>
  <si>
    <t>32nd Trip</t>
  </si>
  <si>
    <t>33rd Trip</t>
  </si>
  <si>
    <t>34th Trip</t>
  </si>
  <si>
    <t>35th Trip</t>
  </si>
  <si>
    <t>36th Trip</t>
  </si>
  <si>
    <t>37th Trip</t>
  </si>
  <si>
    <t>38th Trip</t>
  </si>
  <si>
    <t>39th Trip</t>
  </si>
  <si>
    <t>40th Trip</t>
  </si>
  <si>
    <t>41st Trip</t>
  </si>
  <si>
    <t>42nd Trip</t>
  </si>
  <si>
    <t>43rd Trip</t>
  </si>
  <si>
    <t>44th Trip</t>
  </si>
  <si>
    <t>45th Trip</t>
  </si>
  <si>
    <t>Static ETA at MMU Bus Stop</t>
  </si>
  <si>
    <t>Time left</t>
  </si>
  <si>
    <t>Time Left (mins)</t>
  </si>
  <si>
    <t>Final Prototype (as of 16 June 2025)</t>
  </si>
  <si>
    <t>ETA for Upcoming Buses</t>
  </si>
  <si>
    <r>
      <t xml:space="preserve">Current Station: </t>
    </r>
    <r>
      <rPr>
        <b/>
        <sz val="16"/>
        <color theme="0"/>
        <rFont val="Calibri"/>
        <family val="2"/>
        <scheme val="minor"/>
      </rPr>
      <t>MMU</t>
    </r>
  </si>
  <si>
    <r>
      <t xml:space="preserve">Bus Route: </t>
    </r>
    <r>
      <rPr>
        <b/>
        <sz val="16"/>
        <color theme="0"/>
        <rFont val="Calibri"/>
        <family val="2"/>
        <scheme val="minor"/>
      </rPr>
      <t>T505</t>
    </r>
  </si>
  <si>
    <r>
      <t xml:space="preserve">Shortcut to run macro "Digital_Clock": </t>
    </r>
    <r>
      <rPr>
        <b/>
        <sz val="11"/>
        <color theme="1"/>
        <rFont val="Calibri"/>
        <family val="2"/>
        <scheme val="minor"/>
      </rPr>
      <t>Ctrl + Shift + D</t>
    </r>
  </si>
  <si>
    <r>
      <t xml:space="preserve">Note: Prototype only works on Excel Desktop. If you are on Excel Online, go to </t>
    </r>
    <r>
      <rPr>
        <b/>
        <sz val="11"/>
        <color theme="1"/>
        <rFont val="Calibri"/>
        <family val="2"/>
        <scheme val="minor"/>
      </rPr>
      <t>File</t>
    </r>
    <r>
      <rPr>
        <sz val="11"/>
        <color theme="1"/>
        <rFont val="Calibri"/>
        <family val="2"/>
        <scheme val="minor"/>
      </rPr>
      <t xml:space="preserve"> &gt; </t>
    </r>
    <r>
      <rPr>
        <b/>
        <sz val="11"/>
        <color theme="1"/>
        <rFont val="Calibri"/>
        <family val="2"/>
        <scheme val="minor"/>
      </rPr>
      <t>Info</t>
    </r>
    <r>
      <rPr>
        <sz val="11"/>
        <color theme="1"/>
        <rFont val="Calibri"/>
        <family val="2"/>
        <scheme val="minor"/>
      </rPr>
      <t xml:space="preserve"> &gt; </t>
    </r>
    <r>
      <rPr>
        <b/>
        <sz val="11"/>
        <color theme="1"/>
        <rFont val="Calibri"/>
        <family val="2"/>
        <scheme val="minor"/>
      </rPr>
      <t>Open in Desktop</t>
    </r>
  </si>
  <si>
    <t>06 min</t>
  </si>
  <si>
    <t>36 min</t>
  </si>
  <si>
    <t>66 min</t>
  </si>
  <si>
    <t>MMU Bus Stop</t>
  </si>
  <si>
    <t>Assumed Travel Time (hh:mm)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</si>
</sst>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4409]hh:mm;@"/>
    <numFmt numFmtId="165" formatCode="[$-14409]hh:mm:ss;@"/>
    <numFmt numFmtId="166" formatCode="dd\ mmm\ yyyy\ \(ddd\)"/>
    <numFmt numFmtId="167" formatCode="[mm]\ &quot;min&quot;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ptos"/>
      <family val="2"/>
    </font>
    <font>
      <b/>
      <sz val="12"/>
      <color theme="1"/>
      <name val="Aptos"/>
      <family val="2"/>
    </font>
    <font>
      <sz val="8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93FF"/>
        <bgColor indexed="64"/>
      </patternFill>
    </fill>
    <fill>
      <patternFill patternType="solid">
        <fgColor rgb="FF40404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22" fontId="0" fillId="0" borderId="0" xfId="0" applyNumberFormat="1"/>
    <xf numFmtId="0" fontId="0" fillId="2" borderId="0" xfId="0" applyFill="1"/>
    <xf numFmtId="0" fontId="3" fillId="2" borderId="0" xfId="0" applyFont="1" applyFill="1"/>
    <xf numFmtId="0" fontId="5" fillId="0" borderId="1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0" fillId="4" borderId="0" xfId="0" applyFill="1"/>
    <xf numFmtId="0" fontId="3" fillId="4" borderId="0" xfId="0" applyFont="1" applyFill="1"/>
    <xf numFmtId="0" fontId="3" fillId="4" borderId="0" xfId="0" applyFont="1" applyFill="1" applyAlignment="1">
      <alignment horizontal="right"/>
    </xf>
    <xf numFmtId="21" fontId="1" fillId="4" borderId="0" xfId="0" applyNumberFormat="1" applyFont="1" applyFill="1" applyAlignment="1">
      <alignment horizontal="right"/>
    </xf>
    <xf numFmtId="0" fontId="1" fillId="3" borderId="0" xfId="0" applyFont="1" applyFill="1"/>
    <xf numFmtId="164" fontId="0" fillId="0" borderId="0" xfId="0" applyNumberFormat="1"/>
    <xf numFmtId="49" fontId="0" fillId="0" borderId="0" xfId="0" applyNumberFormat="1"/>
    <xf numFmtId="20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center"/>
    </xf>
    <xf numFmtId="167" fontId="0" fillId="0" borderId="0" xfId="0" applyNumberFormat="1"/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7" fillId="4" borderId="0" xfId="0" applyFont="1" applyFill="1"/>
    <xf numFmtId="0" fontId="7" fillId="4" borderId="0" xfId="0" applyFont="1" applyFill="1" applyAlignment="1">
      <alignment horizontal="right"/>
    </xf>
    <xf numFmtId="0" fontId="7" fillId="2" borderId="0" xfId="0" applyFont="1" applyFill="1"/>
    <xf numFmtId="0" fontId="8" fillId="3" borderId="0" xfId="0" applyFont="1" applyFill="1"/>
    <xf numFmtId="0" fontId="9" fillId="2" borderId="0" xfId="0" applyFont="1" applyFill="1"/>
    <xf numFmtId="165" fontId="8" fillId="4" borderId="0" xfId="0" applyNumberFormat="1" applyFont="1" applyFill="1" applyAlignment="1">
      <alignment horizontal="right"/>
    </xf>
    <xf numFmtId="0" fontId="7" fillId="2" borderId="0" xfId="0" applyFont="1" applyFill="1" applyAlignment="1">
      <alignment horizontal="left"/>
    </xf>
    <xf numFmtId="167" fontId="8" fillId="3" borderId="0" xfId="0" applyNumberFormat="1" applyFont="1" applyFill="1" applyAlignment="1">
      <alignment horizontal="left"/>
    </xf>
    <xf numFmtId="0" fontId="8" fillId="3" borderId="0" xfId="0" applyFont="1" applyFill="1" applyAlignment="1">
      <alignment horizontal="left"/>
    </xf>
    <xf numFmtId="0" fontId="9" fillId="4" borderId="0" xfId="0" applyFont="1" applyFill="1"/>
    <xf numFmtId="166" fontId="8" fillId="4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404040"/>
      <color rgb="FF009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388620</xdr:colOff>
      <xdr:row>4</xdr:row>
      <xdr:rowOff>22860</xdr:rowOff>
    </xdr:from>
    <xdr:to>
      <xdr:col>13</xdr:col>
      <xdr:colOff>541309</xdr:colOff>
      <xdr:row>12</xdr:row>
      <xdr:rowOff>144909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0A9A344-92D1-E059-EA6F-CA22BD051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2120" y="754380"/>
          <a:ext cx="3330229" cy="148602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B127A-1A6B-4CE3-8563-FBBCB09A9564}">
  <sheetPr codeName="Sheet5"/>
  <dimension ref="B2:L19"/>
  <sheetViews>
    <sheetView workbookViewId="0">
      <selection activeCell="E26" sqref="E26"/>
    </sheetView>
  </sheetViews>
  <sheetFormatPr defaultRowHeight="14.4" x14ac:dyDescent="0.3"/>
  <cols>
    <col min="2" max="3" width="0.88671875" customWidth="1"/>
    <col min="4" max="4" width="15.21875" customWidth="1"/>
    <col min="5" max="5" width="56.109375" customWidth="1"/>
    <col min="6" max="6" width="17.88671875" customWidth="1"/>
    <col min="7" max="8" width="0.88671875" customWidth="1"/>
    <col min="10" max="10" width="15.5546875" customWidth="1"/>
    <col min="11" max="11" width="14.109375" customWidth="1"/>
    <col min="12" max="12" width="16.6640625" customWidth="1"/>
  </cols>
  <sheetData>
    <row r="2" spans="2:12" x14ac:dyDescent="0.3">
      <c r="D2" t="s">
        <v>79</v>
      </c>
    </row>
    <row r="4" spans="2:12" ht="21" x14ac:dyDescent="0.4">
      <c r="B4" s="8"/>
      <c r="C4" s="9"/>
      <c r="D4" s="22" t="s">
        <v>81</v>
      </c>
      <c r="E4" s="22"/>
      <c r="F4" s="23" t="s">
        <v>82</v>
      </c>
      <c r="G4" s="9"/>
      <c r="H4" s="8"/>
    </row>
    <row r="5" spans="2:12" ht="4.95" customHeight="1" x14ac:dyDescent="0.4">
      <c r="B5" s="8"/>
      <c r="C5" s="9"/>
      <c r="D5" s="22"/>
      <c r="E5" s="22"/>
      <c r="F5" s="23"/>
      <c r="G5" s="9"/>
      <c r="H5" s="8"/>
    </row>
    <row r="6" spans="2:12" ht="21" x14ac:dyDescent="0.4">
      <c r="B6" s="8"/>
      <c r="C6" s="2"/>
      <c r="D6" s="28" t="s">
        <v>0</v>
      </c>
      <c r="E6" s="24" t="s">
        <v>4</v>
      </c>
      <c r="F6" s="28" t="s">
        <v>6</v>
      </c>
      <c r="G6" s="2"/>
      <c r="H6" s="8"/>
    </row>
    <row r="7" spans="2:12" ht="21" x14ac:dyDescent="0.4">
      <c r="B7" s="8"/>
      <c r="C7" s="2"/>
      <c r="D7" s="30" t="s">
        <v>30</v>
      </c>
      <c r="E7" s="25" t="s">
        <v>5</v>
      </c>
      <c r="F7" s="29">
        <f>'v1'!I7</f>
        <v>0.10619212962774327</v>
      </c>
      <c r="G7" s="2"/>
      <c r="H7" s="8"/>
    </row>
    <row r="8" spans="2:12" ht="21" x14ac:dyDescent="0.4">
      <c r="B8" s="8"/>
      <c r="C8" s="2"/>
      <c r="D8" s="30" t="s">
        <v>1</v>
      </c>
      <c r="E8" s="25" t="s">
        <v>5</v>
      </c>
      <c r="F8" s="29">
        <f>'v1'!I8</f>
        <v>0.12008101851824904</v>
      </c>
      <c r="G8" s="2"/>
      <c r="H8" s="8"/>
    </row>
    <row r="9" spans="2:12" ht="21" x14ac:dyDescent="0.4">
      <c r="B9" s="8"/>
      <c r="C9" s="2"/>
      <c r="D9" s="30" t="s">
        <v>2</v>
      </c>
      <c r="E9" s="25" t="s">
        <v>5</v>
      </c>
      <c r="F9" s="29">
        <f>'v1'!I9</f>
        <v>0.13605324074160308</v>
      </c>
      <c r="G9" s="2"/>
      <c r="H9" s="8"/>
    </row>
    <row r="10" spans="2:12" ht="4.95" customHeight="1" x14ac:dyDescent="0.4">
      <c r="B10" s="8"/>
      <c r="C10" s="2"/>
      <c r="D10" s="26"/>
      <c r="E10" s="26"/>
      <c r="F10" s="26"/>
      <c r="G10" s="2"/>
      <c r="H10" s="8"/>
    </row>
    <row r="11" spans="2:12" ht="4.95" customHeight="1" x14ac:dyDescent="0.4">
      <c r="B11" s="8"/>
      <c r="C11" s="8"/>
      <c r="D11" s="31"/>
      <c r="E11" s="31"/>
      <c r="F11" s="31"/>
      <c r="G11" s="8"/>
      <c r="H11" s="8"/>
    </row>
    <row r="12" spans="2:12" ht="21" x14ac:dyDescent="0.4">
      <c r="B12" s="8"/>
      <c r="C12" s="9"/>
      <c r="D12" s="32" t="str">
        <f>UPPER(TEXT('v1'!B2,"dd mmm yyyy (ddd)"))</f>
        <v>25 JUN 2025 (WED)</v>
      </c>
      <c r="E12" s="32"/>
      <c r="F12" s="27">
        <f>'v1'!B3</f>
        <v>45833.161863425928</v>
      </c>
      <c r="G12" s="9"/>
      <c r="H12" s="8"/>
    </row>
    <row r="15" spans="2:12" ht="15.6" x14ac:dyDescent="0.3">
      <c r="J15" s="20"/>
      <c r="K15" s="20"/>
      <c r="L15" s="20"/>
    </row>
    <row r="16" spans="2:12" ht="15.6" x14ac:dyDescent="0.3">
      <c r="D16" s="17" t="s">
        <v>84</v>
      </c>
      <c r="J16" s="21"/>
      <c r="K16" s="21"/>
      <c r="L16" s="21"/>
    </row>
    <row r="17" spans="10:12" ht="15.6" x14ac:dyDescent="0.3">
      <c r="J17" s="21"/>
      <c r="K17" s="21"/>
      <c r="L17" s="21"/>
    </row>
    <row r="18" spans="10:12" ht="15.6" x14ac:dyDescent="0.3">
      <c r="J18" s="21"/>
      <c r="K18" s="21"/>
      <c r="L18" s="21"/>
    </row>
    <row r="19" spans="10:12" ht="15.6" x14ac:dyDescent="0.3">
      <c r="J19" s="21"/>
      <c r="K19" s="21"/>
      <c r="L19" s="21"/>
    </row>
  </sheetData>
  <mergeCells count="1">
    <mergeCell ref="D12:E1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51"/>
  <sheetViews>
    <sheetView workbookViewId="0">
      <selection activeCell="B10" sqref="B10"/>
    </sheetView>
  </sheetViews>
  <sheetFormatPr defaultRowHeight="14.4" x14ac:dyDescent="0.3"/>
  <cols>
    <col min="1" max="1" width="18.6640625" customWidth="1"/>
    <col min="2" max="2" width="25.6640625" customWidth="1"/>
    <col min="3" max="3" width="13.77734375" customWidth="1"/>
    <col min="4" max="4" width="16.77734375" customWidth="1"/>
    <col min="9" max="9" width="23.109375" customWidth="1"/>
  </cols>
  <sheetData>
    <row r="2" spans="1:9" x14ac:dyDescent="0.3">
      <c r="A2" t="s">
        <v>28</v>
      </c>
      <c r="B2" s="17">
        <v>45833.161863425928</v>
      </c>
      <c r="D2" s="17" t="s">
        <v>84</v>
      </c>
    </row>
    <row r="3" spans="1:9" x14ac:dyDescent="0.3">
      <c r="A3" t="s">
        <v>29</v>
      </c>
      <c r="B3" s="16">
        <v>45833.161863425928</v>
      </c>
      <c r="D3" t="s">
        <v>83</v>
      </c>
    </row>
    <row r="4" spans="1:9" x14ac:dyDescent="0.3">
      <c r="B4" s="16"/>
    </row>
    <row r="5" spans="1:9" x14ac:dyDescent="0.3">
      <c r="B5" s="18" t="s">
        <v>76</v>
      </c>
      <c r="C5" t="s">
        <v>77</v>
      </c>
      <c r="D5" t="s">
        <v>78</v>
      </c>
    </row>
    <row r="6" spans="1:9" x14ac:dyDescent="0.3">
      <c r="A6" t="s">
        <v>31</v>
      </c>
      <c r="B6" s="16">
        <f>'MMU Mon - Fri'!D4</f>
        <v>0.26805555555555555</v>
      </c>
      <c r="C6" s="16">
        <f>MOD(B6-$B$3,1)</f>
        <v>0.10619212962774327</v>
      </c>
      <c r="D6" s="19">
        <f>C6</f>
        <v>0.10619212962774327</v>
      </c>
      <c r="I6" s="19" t="s">
        <v>80</v>
      </c>
    </row>
    <row r="7" spans="1:9" x14ac:dyDescent="0.3">
      <c r="A7" t="s">
        <v>32</v>
      </c>
      <c r="B7" s="16">
        <f>'MMU Mon - Fri'!D5</f>
        <v>0.28194444444444444</v>
      </c>
      <c r="C7" s="16">
        <f t="shared" ref="C7:C50" si="0">MOD(B7-$B$3,1)</f>
        <v>0.12008101851824904</v>
      </c>
      <c r="D7" s="19">
        <f>C7</f>
        <v>0.12008101851824904</v>
      </c>
      <c r="H7" t="s">
        <v>30</v>
      </c>
      <c r="I7" s="19">
        <f>SMALL('v1'!$D$6:$D$50,1)</f>
        <v>0.10619212962774327</v>
      </c>
    </row>
    <row r="8" spans="1:9" x14ac:dyDescent="0.3">
      <c r="A8" t="s">
        <v>33</v>
      </c>
      <c r="B8" s="16">
        <f>'MMU Mon - Fri'!D6</f>
        <v>0.29791666666666666</v>
      </c>
      <c r="C8" s="16">
        <f t="shared" si="0"/>
        <v>0.13605324074160308</v>
      </c>
      <c r="D8" s="19">
        <f t="shared" ref="D8:D50" si="1">C8</f>
        <v>0.13605324074160308</v>
      </c>
      <c r="H8" t="s">
        <v>1</v>
      </c>
      <c r="I8" s="19">
        <f>SMALL('v1'!$D$6:$D$50,2)</f>
        <v>0.12008101851824904</v>
      </c>
    </row>
    <row r="9" spans="1:9" x14ac:dyDescent="0.3">
      <c r="A9" t="s">
        <v>34</v>
      </c>
      <c r="B9" s="16">
        <f>'MMU Mon - Fri'!D7</f>
        <v>0.31180555555555556</v>
      </c>
      <c r="C9" s="16">
        <f t="shared" si="0"/>
        <v>0.14994212962483289</v>
      </c>
      <c r="D9" s="19">
        <f t="shared" si="1"/>
        <v>0.14994212962483289</v>
      </c>
      <c r="H9" t="s">
        <v>2</v>
      </c>
      <c r="I9" s="19">
        <f>SMALL('v1'!$D$6:$D$50,3)</f>
        <v>0.13605324074160308</v>
      </c>
    </row>
    <row r="10" spans="1:9" x14ac:dyDescent="0.3">
      <c r="A10" t="s">
        <v>35</v>
      </c>
      <c r="B10" s="16">
        <f>'MMU Mon - Fri'!D8</f>
        <v>0.32222222222222224</v>
      </c>
      <c r="C10" s="16">
        <f t="shared" si="0"/>
        <v>0.16035879629635019</v>
      </c>
      <c r="D10" s="19">
        <f t="shared" si="1"/>
        <v>0.16035879629635019</v>
      </c>
      <c r="I10" s="19"/>
    </row>
    <row r="11" spans="1:9" x14ac:dyDescent="0.3">
      <c r="A11" t="s">
        <v>36</v>
      </c>
      <c r="B11" s="16">
        <f>'MMU Mon - Fri'!D9</f>
        <v>0.33263888888888887</v>
      </c>
      <c r="C11" s="16">
        <f t="shared" si="0"/>
        <v>0.17077546296059154</v>
      </c>
      <c r="D11" s="19">
        <f t="shared" si="1"/>
        <v>0.17077546296059154</v>
      </c>
      <c r="I11" s="19"/>
    </row>
    <row r="12" spans="1:9" x14ac:dyDescent="0.3">
      <c r="A12" t="s">
        <v>37</v>
      </c>
      <c r="B12" s="16">
        <f>'MMU Mon - Fri'!D10</f>
        <v>0.34305555555555556</v>
      </c>
      <c r="C12" s="16">
        <f t="shared" si="0"/>
        <v>0.18119212962483289</v>
      </c>
      <c r="D12" s="19">
        <f t="shared" si="1"/>
        <v>0.18119212962483289</v>
      </c>
      <c r="I12" s="19"/>
    </row>
    <row r="13" spans="1:9" x14ac:dyDescent="0.3">
      <c r="A13" t="s">
        <v>38</v>
      </c>
      <c r="B13" s="16">
        <f>'MMU Mon - Fri'!D11</f>
        <v>0.35347222222222224</v>
      </c>
      <c r="C13" s="16">
        <f t="shared" si="0"/>
        <v>0.19160879629635019</v>
      </c>
      <c r="D13" s="19">
        <f t="shared" si="1"/>
        <v>0.19160879629635019</v>
      </c>
    </row>
    <row r="14" spans="1:9" x14ac:dyDescent="0.3">
      <c r="A14" t="s">
        <v>39</v>
      </c>
      <c r="B14" s="16">
        <f>'MMU Mon - Fri'!D12</f>
        <v>0.36388888888888887</v>
      </c>
      <c r="C14" s="16">
        <f t="shared" si="0"/>
        <v>0.20202546296059154</v>
      </c>
      <c r="D14" s="19">
        <f t="shared" si="1"/>
        <v>0.20202546296059154</v>
      </c>
    </row>
    <row r="15" spans="1:9" x14ac:dyDescent="0.3">
      <c r="A15" t="s">
        <v>40</v>
      </c>
      <c r="B15" s="16">
        <f>'MMU Mon - Fri'!D13</f>
        <v>0.37430555555555556</v>
      </c>
      <c r="C15" s="16">
        <f t="shared" si="0"/>
        <v>0.21244212962483289</v>
      </c>
      <c r="D15" s="19">
        <f t="shared" si="1"/>
        <v>0.21244212962483289</v>
      </c>
    </row>
    <row r="16" spans="1:9" x14ac:dyDescent="0.3">
      <c r="A16" t="s">
        <v>41</v>
      </c>
      <c r="B16" s="16">
        <f>'MMU Mon - Fri'!D14</f>
        <v>0.38472222222222224</v>
      </c>
      <c r="C16" s="16">
        <f t="shared" si="0"/>
        <v>0.22285879629635019</v>
      </c>
      <c r="D16" s="19">
        <f t="shared" si="1"/>
        <v>0.22285879629635019</v>
      </c>
    </row>
    <row r="17" spans="1:4" x14ac:dyDescent="0.3">
      <c r="A17" t="s">
        <v>42</v>
      </c>
      <c r="B17" s="16">
        <f>'MMU Mon - Fri'!D15</f>
        <v>0.39513888888888887</v>
      </c>
      <c r="C17" s="16">
        <f t="shared" si="0"/>
        <v>0.23327546296059154</v>
      </c>
      <c r="D17" s="19">
        <f t="shared" si="1"/>
        <v>0.23327546296059154</v>
      </c>
    </row>
    <row r="18" spans="1:4" x14ac:dyDescent="0.3">
      <c r="A18" t="s">
        <v>43</v>
      </c>
      <c r="B18" s="16">
        <f>'MMU Mon - Fri'!D16</f>
        <v>0.41597222222222224</v>
      </c>
      <c r="C18" s="16">
        <f t="shared" si="0"/>
        <v>0.25410879629635019</v>
      </c>
      <c r="D18" s="19">
        <f t="shared" si="1"/>
        <v>0.25410879629635019</v>
      </c>
    </row>
    <row r="19" spans="1:4" x14ac:dyDescent="0.3">
      <c r="A19" t="s">
        <v>44</v>
      </c>
      <c r="B19" s="16">
        <f>'MMU Mon - Fri'!D17</f>
        <v>0.43680555555555556</v>
      </c>
      <c r="C19" s="16">
        <f t="shared" si="0"/>
        <v>0.27494212962483289</v>
      </c>
      <c r="D19" s="19">
        <f t="shared" si="1"/>
        <v>0.27494212962483289</v>
      </c>
    </row>
    <row r="20" spans="1:4" x14ac:dyDescent="0.3">
      <c r="A20" t="s">
        <v>45</v>
      </c>
      <c r="B20" s="16">
        <f>'MMU Mon - Fri'!D18</f>
        <v>0.45763888888888887</v>
      </c>
      <c r="C20" s="16">
        <f t="shared" si="0"/>
        <v>0.29577546296059154</v>
      </c>
      <c r="D20" s="19">
        <f t="shared" si="1"/>
        <v>0.29577546296059154</v>
      </c>
    </row>
    <row r="21" spans="1:4" x14ac:dyDescent="0.3">
      <c r="A21" t="s">
        <v>46</v>
      </c>
      <c r="B21" s="16">
        <f>'MMU Mon - Fri'!D19</f>
        <v>0.47847222222222224</v>
      </c>
      <c r="C21" s="16">
        <f t="shared" si="0"/>
        <v>0.31660879629635019</v>
      </c>
      <c r="D21" s="19">
        <f t="shared" si="1"/>
        <v>0.31660879629635019</v>
      </c>
    </row>
    <row r="22" spans="1:4" x14ac:dyDescent="0.3">
      <c r="A22" t="s">
        <v>47</v>
      </c>
      <c r="B22" s="16">
        <f>'MMU Mon - Fri'!D20</f>
        <v>0.49930555555555556</v>
      </c>
      <c r="C22" s="16">
        <f t="shared" si="0"/>
        <v>0.33744212962483289</v>
      </c>
      <c r="D22" s="19">
        <f t="shared" si="1"/>
        <v>0.33744212962483289</v>
      </c>
    </row>
    <row r="23" spans="1:4" x14ac:dyDescent="0.3">
      <c r="A23" t="s">
        <v>48</v>
      </c>
      <c r="B23" s="16">
        <f>'MMU Mon - Fri'!D21</f>
        <v>0.52013888888888893</v>
      </c>
      <c r="C23" s="16">
        <f t="shared" si="0"/>
        <v>0.35827546296059154</v>
      </c>
      <c r="D23" s="19">
        <f t="shared" si="1"/>
        <v>0.35827546296059154</v>
      </c>
    </row>
    <row r="24" spans="1:4" x14ac:dyDescent="0.3">
      <c r="A24" t="s">
        <v>49</v>
      </c>
      <c r="B24" s="16">
        <f>'MMU Mon - Fri'!D22</f>
        <v>0.54097222222222219</v>
      </c>
      <c r="C24" s="16">
        <f t="shared" si="0"/>
        <v>0.37910879629635019</v>
      </c>
      <c r="D24" s="19">
        <f t="shared" si="1"/>
        <v>0.37910879629635019</v>
      </c>
    </row>
    <row r="25" spans="1:4" x14ac:dyDescent="0.3">
      <c r="A25" t="s">
        <v>50</v>
      </c>
      <c r="B25" s="16">
        <f>'MMU Mon - Fri'!D23</f>
        <v>0.56180555555555556</v>
      </c>
      <c r="C25" s="16">
        <f t="shared" si="0"/>
        <v>0.39994212962483289</v>
      </c>
      <c r="D25" s="19">
        <f t="shared" si="1"/>
        <v>0.39994212962483289</v>
      </c>
    </row>
    <row r="26" spans="1:4" x14ac:dyDescent="0.3">
      <c r="A26" t="s">
        <v>51</v>
      </c>
      <c r="B26" s="16">
        <f>'MMU Mon - Fri'!D24</f>
        <v>0.58263888888888893</v>
      </c>
      <c r="C26" s="16">
        <f t="shared" si="0"/>
        <v>0.42077546296059154</v>
      </c>
      <c r="D26" s="19">
        <f t="shared" si="1"/>
        <v>0.42077546296059154</v>
      </c>
    </row>
    <row r="27" spans="1:4" x14ac:dyDescent="0.3">
      <c r="A27" t="s">
        <v>52</v>
      </c>
      <c r="B27" s="16">
        <f>'MMU Mon - Fri'!D25</f>
        <v>0.60347222222222219</v>
      </c>
      <c r="C27" s="16">
        <f t="shared" si="0"/>
        <v>0.44160879629635019</v>
      </c>
      <c r="D27" s="19">
        <f t="shared" si="1"/>
        <v>0.44160879629635019</v>
      </c>
    </row>
    <row r="28" spans="1:4" x14ac:dyDescent="0.3">
      <c r="A28" t="s">
        <v>53</v>
      </c>
      <c r="B28" s="16">
        <f>'MMU Mon - Fri'!D26</f>
        <v>0.62430555555555556</v>
      </c>
      <c r="C28" s="16">
        <f t="shared" si="0"/>
        <v>0.46244212962483289</v>
      </c>
      <c r="D28" s="19">
        <f t="shared" si="1"/>
        <v>0.46244212962483289</v>
      </c>
    </row>
    <row r="29" spans="1:4" x14ac:dyDescent="0.3">
      <c r="A29" t="s">
        <v>54</v>
      </c>
      <c r="B29" s="16">
        <f>'MMU Mon - Fri'!D27</f>
        <v>0.64513888888888893</v>
      </c>
      <c r="C29" s="16">
        <f t="shared" si="0"/>
        <v>0.48327546296059154</v>
      </c>
      <c r="D29" s="19">
        <f t="shared" si="1"/>
        <v>0.48327546296059154</v>
      </c>
    </row>
    <row r="30" spans="1:4" x14ac:dyDescent="0.3">
      <c r="A30" t="s">
        <v>55</v>
      </c>
      <c r="B30" s="16">
        <f>'MMU Mon - Fri'!D28</f>
        <v>0.66597222222222219</v>
      </c>
      <c r="C30" s="16">
        <f t="shared" si="0"/>
        <v>0.50410879629635019</v>
      </c>
      <c r="D30" s="19">
        <f t="shared" si="1"/>
        <v>0.50410879629635019</v>
      </c>
    </row>
    <row r="31" spans="1:4" x14ac:dyDescent="0.3">
      <c r="A31" t="s">
        <v>56</v>
      </c>
      <c r="B31" s="16">
        <f>'MMU Mon - Fri'!D29</f>
        <v>0.68680555555555556</v>
      </c>
      <c r="C31" s="16">
        <f t="shared" si="0"/>
        <v>0.52494212962483289</v>
      </c>
      <c r="D31" s="19">
        <f t="shared" si="1"/>
        <v>0.52494212962483289</v>
      </c>
    </row>
    <row r="32" spans="1:4" x14ac:dyDescent="0.3">
      <c r="A32" t="s">
        <v>57</v>
      </c>
      <c r="B32" s="16">
        <f>'MMU Mon - Fri'!D30</f>
        <v>0.7006944444444444</v>
      </c>
      <c r="C32" s="16">
        <f t="shared" si="0"/>
        <v>0.53883101851533866</v>
      </c>
      <c r="D32" s="19">
        <f t="shared" si="1"/>
        <v>0.53883101851533866</v>
      </c>
    </row>
    <row r="33" spans="1:4" x14ac:dyDescent="0.3">
      <c r="A33" t="s">
        <v>58</v>
      </c>
      <c r="B33" s="16">
        <f>'MMU Mon - Fri'!D31</f>
        <v>0.71458333333333335</v>
      </c>
      <c r="C33" s="16">
        <f t="shared" si="0"/>
        <v>0.55271990740584442</v>
      </c>
      <c r="D33" s="19">
        <f t="shared" si="1"/>
        <v>0.55271990740584442</v>
      </c>
    </row>
    <row r="34" spans="1:4" x14ac:dyDescent="0.3">
      <c r="A34" t="s">
        <v>59</v>
      </c>
      <c r="B34" s="16">
        <f>'MMU Mon - Fri'!D32</f>
        <v>0.72847222222222219</v>
      </c>
      <c r="C34" s="16">
        <f t="shared" si="0"/>
        <v>0.56660879629635019</v>
      </c>
      <c r="D34" s="19">
        <f t="shared" si="1"/>
        <v>0.56660879629635019</v>
      </c>
    </row>
    <row r="35" spans="1:4" x14ac:dyDescent="0.3">
      <c r="A35" t="s">
        <v>60</v>
      </c>
      <c r="B35" s="16">
        <f>'MMU Mon - Fri'!D33</f>
        <v>0.73888888888888893</v>
      </c>
      <c r="C35" s="16">
        <f t="shared" si="0"/>
        <v>0.57702546296059154</v>
      </c>
      <c r="D35" s="19">
        <f t="shared" si="1"/>
        <v>0.57702546296059154</v>
      </c>
    </row>
    <row r="36" spans="1:4" x14ac:dyDescent="0.3">
      <c r="A36" t="s">
        <v>61</v>
      </c>
      <c r="B36" s="16">
        <f>'MMU Mon - Fri'!D34</f>
        <v>0.74930555555555556</v>
      </c>
      <c r="C36" s="16">
        <f t="shared" si="0"/>
        <v>0.58744212962483289</v>
      </c>
      <c r="D36" s="19">
        <f t="shared" si="1"/>
        <v>0.58744212962483289</v>
      </c>
    </row>
    <row r="37" spans="1:4" x14ac:dyDescent="0.3">
      <c r="A37" t="s">
        <v>62</v>
      </c>
      <c r="B37" s="16">
        <f>'MMU Mon - Fri'!D35</f>
        <v>0.75972222222222219</v>
      </c>
      <c r="C37" s="16">
        <f t="shared" si="0"/>
        <v>0.59785879629635019</v>
      </c>
      <c r="D37" s="19">
        <f t="shared" si="1"/>
        <v>0.59785879629635019</v>
      </c>
    </row>
    <row r="38" spans="1:4" x14ac:dyDescent="0.3">
      <c r="A38" t="s">
        <v>63</v>
      </c>
      <c r="B38" s="16">
        <f>'MMU Mon - Fri'!D36</f>
        <v>0.77013888888888893</v>
      </c>
      <c r="C38" s="16">
        <f t="shared" si="0"/>
        <v>0.60827546296059154</v>
      </c>
      <c r="D38" s="19">
        <f t="shared" si="1"/>
        <v>0.60827546296059154</v>
      </c>
    </row>
    <row r="39" spans="1:4" x14ac:dyDescent="0.3">
      <c r="A39" t="s">
        <v>64</v>
      </c>
      <c r="B39" s="16">
        <f>'MMU Mon - Fri'!D37</f>
        <v>0.78055555555555556</v>
      </c>
      <c r="C39" s="16">
        <f t="shared" si="0"/>
        <v>0.61869212962483289</v>
      </c>
      <c r="D39" s="19">
        <f t="shared" si="1"/>
        <v>0.61869212962483289</v>
      </c>
    </row>
    <row r="40" spans="1:4" x14ac:dyDescent="0.3">
      <c r="A40" t="s">
        <v>65</v>
      </c>
      <c r="B40" s="16">
        <f>'MMU Mon - Fri'!D38</f>
        <v>0.79097222222222219</v>
      </c>
      <c r="C40" s="16">
        <f t="shared" si="0"/>
        <v>0.62910879629635019</v>
      </c>
      <c r="D40" s="19">
        <f t="shared" si="1"/>
        <v>0.62910879629635019</v>
      </c>
    </row>
    <row r="41" spans="1:4" x14ac:dyDescent="0.3">
      <c r="A41" t="s">
        <v>66</v>
      </c>
      <c r="B41" s="16">
        <f>'MMU Mon - Fri'!D39</f>
        <v>0.80138888888888893</v>
      </c>
      <c r="C41" s="16">
        <f t="shared" si="0"/>
        <v>0.63952546296059154</v>
      </c>
      <c r="D41" s="19">
        <f t="shared" si="1"/>
        <v>0.63952546296059154</v>
      </c>
    </row>
    <row r="42" spans="1:4" x14ac:dyDescent="0.3">
      <c r="A42" t="s">
        <v>67</v>
      </c>
      <c r="B42" s="16">
        <f>'MMU Mon - Fri'!D40</f>
        <v>0.81180555555555556</v>
      </c>
      <c r="C42" s="16">
        <f t="shared" si="0"/>
        <v>0.64994212962483289</v>
      </c>
      <c r="D42" s="19">
        <f t="shared" si="1"/>
        <v>0.64994212962483289</v>
      </c>
    </row>
    <row r="43" spans="1:4" x14ac:dyDescent="0.3">
      <c r="A43" t="s">
        <v>68</v>
      </c>
      <c r="B43" s="16">
        <f>'MMU Mon - Fri'!D41</f>
        <v>0.8256944444444444</v>
      </c>
      <c r="C43" s="16">
        <f t="shared" si="0"/>
        <v>0.66383101851533866</v>
      </c>
      <c r="D43" s="19">
        <f t="shared" si="1"/>
        <v>0.66383101851533866</v>
      </c>
    </row>
    <row r="44" spans="1:4" x14ac:dyDescent="0.3">
      <c r="A44" t="s">
        <v>69</v>
      </c>
      <c r="B44" s="16">
        <f>'MMU Mon - Fri'!D42</f>
        <v>0.83958333333333335</v>
      </c>
      <c r="C44" s="16">
        <f t="shared" si="0"/>
        <v>0.67771990740584442</v>
      </c>
      <c r="D44" s="19">
        <f t="shared" si="1"/>
        <v>0.67771990740584442</v>
      </c>
    </row>
    <row r="45" spans="1:4" x14ac:dyDescent="0.3">
      <c r="A45" t="s">
        <v>70</v>
      </c>
      <c r="B45" s="16">
        <f>'MMU Mon - Fri'!D43</f>
        <v>0.85347222222222219</v>
      </c>
      <c r="C45" s="16">
        <f t="shared" si="0"/>
        <v>0.69160879629635019</v>
      </c>
      <c r="D45" s="19">
        <f t="shared" si="1"/>
        <v>0.69160879629635019</v>
      </c>
    </row>
    <row r="46" spans="1:4" x14ac:dyDescent="0.3">
      <c r="A46" t="s">
        <v>71</v>
      </c>
      <c r="B46" s="16">
        <f>'MMU Mon - Fri'!D44</f>
        <v>0.87430555555555556</v>
      </c>
      <c r="C46" s="16">
        <f t="shared" si="0"/>
        <v>0.71244212962483289</v>
      </c>
      <c r="D46" s="19">
        <f t="shared" si="1"/>
        <v>0.71244212962483289</v>
      </c>
    </row>
    <row r="47" spans="1:4" x14ac:dyDescent="0.3">
      <c r="A47" t="s">
        <v>72</v>
      </c>
      <c r="B47" s="16">
        <f>'MMU Mon - Fri'!D45</f>
        <v>0.8930555555555556</v>
      </c>
      <c r="C47" s="16">
        <f t="shared" si="0"/>
        <v>0.73119212962774327</v>
      </c>
      <c r="D47" s="19">
        <f t="shared" si="1"/>
        <v>0.73119212962774327</v>
      </c>
    </row>
    <row r="48" spans="1:4" x14ac:dyDescent="0.3">
      <c r="A48" t="s">
        <v>73</v>
      </c>
      <c r="B48" s="16">
        <f>'MMU Mon - Fri'!D46</f>
        <v>0.9243055555555556</v>
      </c>
      <c r="C48" s="16">
        <f t="shared" si="0"/>
        <v>0.76244212962774327</v>
      </c>
      <c r="D48" s="19">
        <f t="shared" si="1"/>
        <v>0.76244212962774327</v>
      </c>
    </row>
    <row r="49" spans="1:4" x14ac:dyDescent="0.3">
      <c r="A49" t="s">
        <v>74</v>
      </c>
      <c r="B49" s="16">
        <f>'MMU Mon - Fri'!D47</f>
        <v>0.9555555555555556</v>
      </c>
      <c r="C49" s="16">
        <f t="shared" si="0"/>
        <v>0.79369212962774327</v>
      </c>
      <c r="D49" s="19">
        <f t="shared" si="1"/>
        <v>0.79369212962774327</v>
      </c>
    </row>
    <row r="50" spans="1:4" x14ac:dyDescent="0.3">
      <c r="A50" t="s">
        <v>75</v>
      </c>
      <c r="B50" s="16">
        <f>'MMU Mon - Fri'!D48</f>
        <v>0.99722222222222223</v>
      </c>
      <c r="C50" s="16">
        <f t="shared" si="0"/>
        <v>0.83535879629198462</v>
      </c>
      <c r="D50" s="19">
        <f t="shared" si="1"/>
        <v>0.83535879629198462</v>
      </c>
    </row>
    <row r="51" spans="1:4" x14ac:dyDescent="0.3">
      <c r="B51" s="13"/>
    </row>
  </sheetData>
  <phoneticPr fontId="6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EE40F-11B5-481D-AC32-524573812C57}">
  <sheetPr codeName="Sheet3"/>
  <dimension ref="B1:O48"/>
  <sheetViews>
    <sheetView tabSelected="1" topLeftCell="A2" zoomScale="70" zoomScaleNormal="70" workbookViewId="0">
      <selection activeCell="K14" sqref="K14"/>
    </sheetView>
  </sheetViews>
  <sheetFormatPr defaultRowHeight="14.4" x14ac:dyDescent="0.3"/>
  <cols>
    <col min="3" max="3" width="24.5546875" customWidth="1"/>
    <col min="4" max="4" width="26.5546875" customWidth="1"/>
    <col min="5" max="5" width="33.109375" customWidth="1"/>
  </cols>
  <sheetData>
    <row r="1" spans="2:11" x14ac:dyDescent="0.3">
      <c r="B1" t="s">
        <v>25</v>
      </c>
    </row>
    <row r="3" spans="2:11" x14ac:dyDescent="0.3">
      <c r="B3" t="s">
        <v>26</v>
      </c>
      <c r="C3" t="s">
        <v>5</v>
      </c>
      <c r="D3" t="s">
        <v>88</v>
      </c>
      <c r="E3" t="s">
        <v>89</v>
      </c>
    </row>
    <row r="4" spans="2:11" x14ac:dyDescent="0.3">
      <c r="B4">
        <v>1</v>
      </c>
      <c r="C4" s="13">
        <v>0.25</v>
      </c>
      <c r="D4" s="13">
        <v>0.26805555555555555</v>
      </c>
      <c r="E4" s="13">
        <f>D4-C4</f>
        <v>1.8055555555555547E-2</v>
      </c>
      <c r="G4" s="14"/>
      <c r="H4" s="13"/>
      <c r="I4" s="13"/>
      <c r="J4" s="13"/>
      <c r="K4" s="13"/>
    </row>
    <row r="5" spans="2:11" x14ac:dyDescent="0.3">
      <c r="B5">
        <v>2</v>
      </c>
      <c r="C5" s="13">
        <v>0.2638888888888889</v>
      </c>
      <c r="D5" s="13">
        <v>0.28194444444444444</v>
      </c>
      <c r="E5" s="13">
        <f t="shared" ref="E5:E48" si="0">D5-C5</f>
        <v>1.8055555555555547E-2</v>
      </c>
      <c r="G5" s="14"/>
      <c r="H5" s="13"/>
      <c r="I5" s="13"/>
      <c r="J5" s="13"/>
    </row>
    <row r="6" spans="2:11" x14ac:dyDescent="0.3">
      <c r="B6">
        <v>3</v>
      </c>
      <c r="C6" s="13">
        <v>0.27777777777777779</v>
      </c>
      <c r="D6" s="13">
        <v>0.29791666666666666</v>
      </c>
      <c r="E6" s="13">
        <f t="shared" si="0"/>
        <v>2.0138888888888873E-2</v>
      </c>
      <c r="G6" s="14"/>
      <c r="H6" s="13"/>
    </row>
    <row r="7" spans="2:11" x14ac:dyDescent="0.3">
      <c r="B7">
        <v>4</v>
      </c>
      <c r="C7" s="13">
        <v>0.29166666666666669</v>
      </c>
      <c r="D7" s="13">
        <v>0.31180555555555556</v>
      </c>
      <c r="E7" s="13">
        <f t="shared" si="0"/>
        <v>2.0138888888888873E-2</v>
      </c>
      <c r="G7" s="14"/>
    </row>
    <row r="8" spans="2:11" x14ac:dyDescent="0.3">
      <c r="B8">
        <v>5</v>
      </c>
      <c r="C8" s="13">
        <v>0.30208333333333331</v>
      </c>
      <c r="D8" s="13">
        <v>0.32222222222222224</v>
      </c>
      <c r="E8" s="13">
        <f t="shared" si="0"/>
        <v>2.0138888888888928E-2</v>
      </c>
      <c r="G8" s="14"/>
    </row>
    <row r="9" spans="2:11" x14ac:dyDescent="0.3">
      <c r="B9">
        <v>6</v>
      </c>
      <c r="C9" s="13">
        <v>0.3125</v>
      </c>
      <c r="D9" s="13">
        <v>0.33263888888888887</v>
      </c>
      <c r="E9" s="13">
        <f t="shared" si="0"/>
        <v>2.0138888888888873E-2</v>
      </c>
      <c r="G9" s="14"/>
    </row>
    <row r="10" spans="2:11" x14ac:dyDescent="0.3">
      <c r="B10">
        <v>7</v>
      </c>
      <c r="C10" s="13">
        <v>0.32291666666666669</v>
      </c>
      <c r="D10" s="13">
        <v>0.34305555555555556</v>
      </c>
      <c r="E10" s="13">
        <f t="shared" si="0"/>
        <v>2.0138888888888873E-2</v>
      </c>
      <c r="G10" s="14"/>
    </row>
    <row r="11" spans="2:11" x14ac:dyDescent="0.3">
      <c r="B11">
        <v>8</v>
      </c>
      <c r="C11" s="13">
        <v>0.33333333333333331</v>
      </c>
      <c r="D11" s="13">
        <v>0.35347222222222224</v>
      </c>
      <c r="E11" s="13">
        <f t="shared" si="0"/>
        <v>2.0138888888888928E-2</v>
      </c>
      <c r="G11" s="14"/>
    </row>
    <row r="12" spans="2:11" x14ac:dyDescent="0.3">
      <c r="B12">
        <v>9</v>
      </c>
      <c r="C12" s="13">
        <v>0.34375</v>
      </c>
      <c r="D12" s="13">
        <v>0.36388888888888887</v>
      </c>
      <c r="E12" s="13">
        <f t="shared" si="0"/>
        <v>2.0138888888888873E-2</v>
      </c>
      <c r="G12" s="14"/>
    </row>
    <row r="13" spans="2:11" x14ac:dyDescent="0.3">
      <c r="B13">
        <v>10</v>
      </c>
      <c r="C13" s="13">
        <v>0.35416666666666669</v>
      </c>
      <c r="D13" s="13">
        <v>0.37430555555555556</v>
      </c>
      <c r="E13" s="13">
        <f t="shared" si="0"/>
        <v>2.0138888888888873E-2</v>
      </c>
      <c r="G13" s="14"/>
    </row>
    <row r="14" spans="2:11" x14ac:dyDescent="0.3">
      <c r="B14">
        <v>11</v>
      </c>
      <c r="C14" s="13">
        <v>0.36458333333333331</v>
      </c>
      <c r="D14" s="13">
        <v>0.38472222222222224</v>
      </c>
      <c r="E14" s="13">
        <f t="shared" si="0"/>
        <v>2.0138888888888928E-2</v>
      </c>
      <c r="G14" s="14"/>
    </row>
    <row r="15" spans="2:11" x14ac:dyDescent="0.3">
      <c r="B15">
        <v>12</v>
      </c>
      <c r="C15" s="13">
        <v>0.375</v>
      </c>
      <c r="D15" s="13">
        <v>0.39513888888888887</v>
      </c>
      <c r="E15" s="13">
        <f t="shared" si="0"/>
        <v>2.0138888888888873E-2</v>
      </c>
      <c r="G15" s="14"/>
    </row>
    <row r="16" spans="2:11" x14ac:dyDescent="0.3">
      <c r="B16">
        <v>13</v>
      </c>
      <c r="C16" s="13">
        <v>0.39583333333333331</v>
      </c>
      <c r="D16" s="13">
        <v>0.41597222222222224</v>
      </c>
      <c r="E16" s="13">
        <f t="shared" si="0"/>
        <v>2.0138888888888928E-2</v>
      </c>
      <c r="G16" s="14"/>
    </row>
    <row r="17" spans="2:15" x14ac:dyDescent="0.3">
      <c r="B17">
        <v>14</v>
      </c>
      <c r="C17" s="13">
        <v>0.41666666666666669</v>
      </c>
      <c r="D17" s="13">
        <v>0.43680555555555556</v>
      </c>
      <c r="E17" s="13">
        <f t="shared" si="0"/>
        <v>2.0138888888888873E-2</v>
      </c>
    </row>
    <row r="18" spans="2:15" x14ac:dyDescent="0.3">
      <c r="B18">
        <v>15</v>
      </c>
      <c r="C18" s="13">
        <v>0.4375</v>
      </c>
      <c r="D18" s="13">
        <v>0.45763888888888887</v>
      </c>
      <c r="E18" s="13">
        <f t="shared" si="0"/>
        <v>2.0138888888888873E-2</v>
      </c>
    </row>
    <row r="19" spans="2:15" x14ac:dyDescent="0.3">
      <c r="B19">
        <v>16</v>
      </c>
      <c r="C19" s="13">
        <v>0.45833333333333331</v>
      </c>
      <c r="D19" s="13">
        <v>0.47847222222222224</v>
      </c>
      <c r="E19" s="13">
        <f t="shared" si="0"/>
        <v>2.0138888888888928E-2</v>
      </c>
    </row>
    <row r="20" spans="2:15" x14ac:dyDescent="0.3">
      <c r="B20">
        <v>17</v>
      </c>
      <c r="C20" s="13">
        <v>0.47916666666666669</v>
      </c>
      <c r="D20" s="13">
        <v>0.49930555555555556</v>
      </c>
      <c r="E20" s="13">
        <f t="shared" si="0"/>
        <v>2.0138888888888873E-2</v>
      </c>
    </row>
    <row r="21" spans="2:15" x14ac:dyDescent="0.3">
      <c r="B21">
        <v>18</v>
      </c>
      <c r="C21" s="13">
        <v>0.5</v>
      </c>
      <c r="D21" s="13">
        <v>0.52013888888888893</v>
      </c>
      <c r="E21" s="13">
        <f t="shared" si="0"/>
        <v>2.0138888888888928E-2</v>
      </c>
    </row>
    <row r="22" spans="2:15" x14ac:dyDescent="0.3">
      <c r="B22">
        <v>19</v>
      </c>
      <c r="C22" s="13">
        <v>0.52083333333333337</v>
      </c>
      <c r="D22" s="13">
        <v>0.54097222222222219</v>
      </c>
      <c r="E22" s="13">
        <f t="shared" si="0"/>
        <v>2.0138888888888817E-2</v>
      </c>
    </row>
    <row r="23" spans="2:15" x14ac:dyDescent="0.3">
      <c r="B23">
        <v>20</v>
      </c>
      <c r="C23" s="13">
        <v>0.54166666666666663</v>
      </c>
      <c r="D23" s="13">
        <v>0.56180555555555556</v>
      </c>
      <c r="E23" s="13">
        <f t="shared" si="0"/>
        <v>2.0138888888888928E-2</v>
      </c>
      <c r="F23" s="13"/>
      <c r="H23" s="13"/>
      <c r="I23" s="13"/>
    </row>
    <row r="24" spans="2:15" x14ac:dyDescent="0.3">
      <c r="B24">
        <v>21</v>
      </c>
      <c r="C24" s="13">
        <v>0.5625</v>
      </c>
      <c r="D24" s="13">
        <v>0.58263888888888893</v>
      </c>
      <c r="E24" s="13">
        <f t="shared" si="0"/>
        <v>2.0138888888888928E-2</v>
      </c>
      <c r="F24" s="13"/>
      <c r="H24" s="13"/>
      <c r="I24" s="13"/>
    </row>
    <row r="25" spans="2:15" x14ac:dyDescent="0.3">
      <c r="B25">
        <v>22</v>
      </c>
      <c r="C25" s="13">
        <v>0.58333333333333337</v>
      </c>
      <c r="D25" s="13">
        <v>0.60347222222222219</v>
      </c>
      <c r="E25" s="13">
        <f t="shared" si="0"/>
        <v>2.0138888888888817E-2</v>
      </c>
      <c r="F25" s="13"/>
      <c r="H25" s="13"/>
      <c r="I25" s="13"/>
      <c r="J25" s="13"/>
      <c r="K25" s="13"/>
      <c r="L25" s="13"/>
      <c r="M25" s="13"/>
      <c r="N25" s="13"/>
      <c r="O25" s="13"/>
    </row>
    <row r="26" spans="2:15" x14ac:dyDescent="0.3">
      <c r="B26">
        <v>23</v>
      </c>
      <c r="C26" s="13">
        <v>0.60416666666666663</v>
      </c>
      <c r="D26" s="13">
        <v>0.62430555555555556</v>
      </c>
      <c r="E26" s="13">
        <f t="shared" si="0"/>
        <v>2.0138888888888928E-2</v>
      </c>
    </row>
    <row r="27" spans="2:15" x14ac:dyDescent="0.3">
      <c r="B27">
        <v>24</v>
      </c>
      <c r="C27" s="13">
        <v>0.625</v>
      </c>
      <c r="D27" s="13">
        <v>0.64513888888888893</v>
      </c>
      <c r="E27" s="13">
        <f t="shared" si="0"/>
        <v>2.0138888888888928E-2</v>
      </c>
    </row>
    <row r="28" spans="2:15" x14ac:dyDescent="0.3">
      <c r="B28">
        <v>25</v>
      </c>
      <c r="C28" s="13">
        <v>0.64583333333333337</v>
      </c>
      <c r="D28" s="13">
        <v>0.66597222222222219</v>
      </c>
      <c r="E28" s="13">
        <f t="shared" si="0"/>
        <v>2.0138888888888817E-2</v>
      </c>
    </row>
    <row r="29" spans="2:15" x14ac:dyDescent="0.3">
      <c r="B29">
        <v>26</v>
      </c>
      <c r="C29" s="13">
        <v>0.66666666666666663</v>
      </c>
      <c r="D29" s="13">
        <v>0.68680555555555556</v>
      </c>
      <c r="E29" s="13">
        <f t="shared" si="0"/>
        <v>2.0138888888888928E-2</v>
      </c>
    </row>
    <row r="30" spans="2:15" x14ac:dyDescent="0.3">
      <c r="B30">
        <v>27</v>
      </c>
      <c r="C30" s="13">
        <v>0.68055555555555558</v>
      </c>
      <c r="D30" s="13">
        <v>0.7006944444444444</v>
      </c>
      <c r="E30" s="13">
        <f t="shared" si="0"/>
        <v>2.0138888888888817E-2</v>
      </c>
    </row>
    <row r="31" spans="2:15" x14ac:dyDescent="0.3">
      <c r="B31">
        <v>28</v>
      </c>
      <c r="C31" s="13">
        <v>0.69444444444444442</v>
      </c>
      <c r="D31" s="13">
        <v>0.71458333333333335</v>
      </c>
      <c r="E31" s="13">
        <f t="shared" si="0"/>
        <v>2.0138888888888928E-2</v>
      </c>
    </row>
    <row r="32" spans="2:15" x14ac:dyDescent="0.3">
      <c r="B32">
        <v>29</v>
      </c>
      <c r="C32" s="13">
        <v>0.70833333333333337</v>
      </c>
      <c r="D32" s="13">
        <v>0.72847222222222219</v>
      </c>
      <c r="E32" s="13">
        <f t="shared" si="0"/>
        <v>2.0138888888888817E-2</v>
      </c>
    </row>
    <row r="33" spans="2:5" x14ac:dyDescent="0.3">
      <c r="B33">
        <v>30</v>
      </c>
      <c r="C33" s="13">
        <v>0.71875</v>
      </c>
      <c r="D33" s="13">
        <v>0.73888888888888893</v>
      </c>
      <c r="E33" s="13">
        <f t="shared" si="0"/>
        <v>2.0138888888888928E-2</v>
      </c>
    </row>
    <row r="34" spans="2:5" x14ac:dyDescent="0.3">
      <c r="B34">
        <v>31</v>
      </c>
      <c r="C34" s="13">
        <v>0.72916666666666663</v>
      </c>
      <c r="D34" s="13">
        <v>0.74930555555555556</v>
      </c>
      <c r="E34" s="13">
        <f t="shared" si="0"/>
        <v>2.0138888888888928E-2</v>
      </c>
    </row>
    <row r="35" spans="2:5" x14ac:dyDescent="0.3">
      <c r="B35">
        <v>32</v>
      </c>
      <c r="C35" s="13">
        <v>0.73958333333333337</v>
      </c>
      <c r="D35" s="13">
        <v>0.75972222222222219</v>
      </c>
      <c r="E35" s="13">
        <f t="shared" si="0"/>
        <v>2.0138888888888817E-2</v>
      </c>
    </row>
    <row r="36" spans="2:5" x14ac:dyDescent="0.3">
      <c r="B36">
        <v>33</v>
      </c>
      <c r="C36" s="13">
        <v>0.75</v>
      </c>
      <c r="D36" s="13">
        <v>0.77013888888888893</v>
      </c>
      <c r="E36" s="13">
        <f t="shared" si="0"/>
        <v>2.0138888888888928E-2</v>
      </c>
    </row>
    <row r="37" spans="2:5" x14ac:dyDescent="0.3">
      <c r="B37">
        <v>34</v>
      </c>
      <c r="C37" s="13">
        <v>0.76041666666666663</v>
      </c>
      <c r="D37" s="13">
        <v>0.78055555555555556</v>
      </c>
      <c r="E37" s="13">
        <f t="shared" si="0"/>
        <v>2.0138888888888928E-2</v>
      </c>
    </row>
    <row r="38" spans="2:5" x14ac:dyDescent="0.3">
      <c r="B38">
        <v>35</v>
      </c>
      <c r="C38" s="13">
        <v>0.77083333333333337</v>
      </c>
      <c r="D38" s="13">
        <v>0.79097222222222219</v>
      </c>
      <c r="E38" s="13">
        <f t="shared" si="0"/>
        <v>2.0138888888888817E-2</v>
      </c>
    </row>
    <row r="39" spans="2:5" x14ac:dyDescent="0.3">
      <c r="B39">
        <v>36</v>
      </c>
      <c r="C39" s="13">
        <v>0.78125</v>
      </c>
      <c r="D39" s="13">
        <v>0.80138888888888893</v>
      </c>
      <c r="E39" s="13">
        <f t="shared" si="0"/>
        <v>2.0138888888888928E-2</v>
      </c>
    </row>
    <row r="40" spans="2:5" x14ac:dyDescent="0.3">
      <c r="B40">
        <v>37</v>
      </c>
      <c r="C40" s="13">
        <v>0.79166666666666663</v>
      </c>
      <c r="D40" s="13">
        <v>0.81180555555555556</v>
      </c>
      <c r="E40" s="13">
        <f t="shared" si="0"/>
        <v>2.0138888888888928E-2</v>
      </c>
    </row>
    <row r="41" spans="2:5" x14ac:dyDescent="0.3">
      <c r="B41">
        <v>38</v>
      </c>
      <c r="C41" s="13">
        <v>0.80555555555555558</v>
      </c>
      <c r="D41" s="13">
        <v>0.8256944444444444</v>
      </c>
      <c r="E41" s="13">
        <f t="shared" si="0"/>
        <v>2.0138888888888817E-2</v>
      </c>
    </row>
    <row r="42" spans="2:5" x14ac:dyDescent="0.3">
      <c r="B42">
        <v>39</v>
      </c>
      <c r="C42" s="13">
        <v>0.81944444444444442</v>
      </c>
      <c r="D42" s="13">
        <v>0.83958333333333335</v>
      </c>
      <c r="E42" s="13">
        <f t="shared" si="0"/>
        <v>2.0138888888888928E-2</v>
      </c>
    </row>
    <row r="43" spans="2:5" x14ac:dyDescent="0.3">
      <c r="B43">
        <v>40</v>
      </c>
      <c r="C43" s="13">
        <v>0.83333333333333337</v>
      </c>
      <c r="D43" s="13">
        <v>0.85347222222222219</v>
      </c>
      <c r="E43" s="13">
        <f t="shared" si="0"/>
        <v>2.0138888888888817E-2</v>
      </c>
    </row>
    <row r="44" spans="2:5" x14ac:dyDescent="0.3">
      <c r="B44">
        <v>41</v>
      </c>
      <c r="C44" s="13">
        <v>0.85416666666666663</v>
      </c>
      <c r="D44" s="13">
        <v>0.87430555555555556</v>
      </c>
      <c r="E44" s="13">
        <f t="shared" si="0"/>
        <v>2.0138888888888928E-2</v>
      </c>
    </row>
    <row r="45" spans="2:5" x14ac:dyDescent="0.3">
      <c r="B45">
        <v>42</v>
      </c>
      <c r="C45" s="13">
        <v>0.875</v>
      </c>
      <c r="D45" s="13">
        <v>0.8930555555555556</v>
      </c>
      <c r="E45" s="13">
        <f t="shared" si="0"/>
        <v>1.8055555555555602E-2</v>
      </c>
    </row>
    <row r="46" spans="2:5" x14ac:dyDescent="0.3">
      <c r="B46">
        <v>43</v>
      </c>
      <c r="C46" s="13">
        <v>0.90625</v>
      </c>
      <c r="D46" s="13">
        <v>0.9243055555555556</v>
      </c>
      <c r="E46" s="13">
        <f t="shared" si="0"/>
        <v>1.8055555555555602E-2</v>
      </c>
    </row>
    <row r="47" spans="2:5" x14ac:dyDescent="0.3">
      <c r="B47">
        <v>44</v>
      </c>
      <c r="C47" s="13">
        <v>0.9375</v>
      </c>
      <c r="D47" s="13">
        <v>0.9555555555555556</v>
      </c>
      <c r="E47" s="13">
        <f t="shared" si="0"/>
        <v>1.8055555555555602E-2</v>
      </c>
    </row>
    <row r="48" spans="2:5" x14ac:dyDescent="0.3">
      <c r="B48">
        <v>45</v>
      </c>
      <c r="C48" s="13">
        <v>0.97916666666666663</v>
      </c>
      <c r="D48" s="13">
        <v>0.99722222222222223</v>
      </c>
      <c r="E48" s="13">
        <f t="shared" si="0"/>
        <v>1.8055555555555602E-2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3B082-2713-45B3-A2D2-FEC2D5AF1D77}">
  <sheetPr codeName="Sheet4"/>
  <dimension ref="B2:P47"/>
  <sheetViews>
    <sheetView zoomScale="55" zoomScaleNormal="55" workbookViewId="0">
      <selection activeCell="M19" sqref="M19"/>
    </sheetView>
  </sheetViews>
  <sheetFormatPr defaultRowHeight="14.4" x14ac:dyDescent="0.3"/>
  <cols>
    <col min="3" max="3" width="18.88671875" customWidth="1"/>
    <col min="4" max="4" width="17.44140625" customWidth="1"/>
    <col min="5" max="5" width="21.88671875" customWidth="1"/>
  </cols>
  <sheetData>
    <row r="2" spans="2:16" x14ac:dyDescent="0.3">
      <c r="B2" t="s">
        <v>26</v>
      </c>
      <c r="C2" t="s">
        <v>5</v>
      </c>
      <c r="D2" t="s">
        <v>88</v>
      </c>
      <c r="E2" t="s">
        <v>27</v>
      </c>
    </row>
    <row r="3" spans="2:16" x14ac:dyDescent="0.3">
      <c r="B3">
        <v>1</v>
      </c>
      <c r="C3" s="13">
        <v>0.25</v>
      </c>
      <c r="D3" s="13">
        <v>0.26805555555555555</v>
      </c>
      <c r="E3" s="13">
        <f>D3-C3</f>
        <v>1.8055555555555547E-2</v>
      </c>
      <c r="G3" s="13"/>
      <c r="H3" s="13"/>
      <c r="I3" s="13"/>
      <c r="J3" s="13"/>
      <c r="K3" s="13"/>
      <c r="L3" s="13"/>
      <c r="M3" s="13"/>
      <c r="N3" s="13"/>
    </row>
    <row r="4" spans="2:16" x14ac:dyDescent="0.3">
      <c r="B4">
        <v>2</v>
      </c>
      <c r="C4" s="13">
        <v>0.27083333333333331</v>
      </c>
      <c r="D4" s="13">
        <v>0.28888888888888886</v>
      </c>
      <c r="E4" s="13">
        <f t="shared" ref="E4:E30" si="0">D4-C4</f>
        <v>1.8055555555555547E-2</v>
      </c>
      <c r="G4" s="13"/>
      <c r="H4" s="13"/>
      <c r="I4" s="13"/>
      <c r="J4" s="13"/>
      <c r="K4" s="13"/>
      <c r="L4" s="13"/>
      <c r="M4" s="13"/>
      <c r="N4" s="13"/>
      <c r="O4" s="13"/>
      <c r="P4" s="15"/>
    </row>
    <row r="5" spans="2:16" x14ac:dyDescent="0.3">
      <c r="B5">
        <v>3</v>
      </c>
      <c r="C5" s="13">
        <v>0.29166666666666669</v>
      </c>
      <c r="D5" s="13">
        <v>0.31180555555555556</v>
      </c>
      <c r="E5" s="13">
        <f t="shared" si="0"/>
        <v>2.0138888888888873E-2</v>
      </c>
      <c r="N5" s="13"/>
      <c r="O5" s="13"/>
      <c r="P5" s="13"/>
    </row>
    <row r="6" spans="2:16" x14ac:dyDescent="0.3">
      <c r="B6">
        <v>4</v>
      </c>
      <c r="C6" s="13">
        <v>0.3125</v>
      </c>
      <c r="D6" s="13">
        <v>0.33263888888888887</v>
      </c>
      <c r="E6" s="13">
        <f t="shared" si="0"/>
        <v>2.0138888888888873E-2</v>
      </c>
      <c r="G6" s="13"/>
      <c r="H6" s="13"/>
      <c r="I6" s="13"/>
      <c r="J6" s="13"/>
      <c r="K6" s="13"/>
      <c r="L6" s="13"/>
      <c r="M6" s="13"/>
      <c r="N6" s="13"/>
    </row>
    <row r="7" spans="2:16" x14ac:dyDescent="0.3">
      <c r="B7">
        <v>5</v>
      </c>
      <c r="C7" s="13">
        <v>0.33333333333333331</v>
      </c>
      <c r="D7" s="13">
        <v>0.35347222222222224</v>
      </c>
      <c r="E7" s="13">
        <f t="shared" si="0"/>
        <v>2.0138888888888928E-2</v>
      </c>
      <c r="G7" s="13"/>
      <c r="H7" s="13"/>
      <c r="I7" s="13"/>
      <c r="J7" s="13"/>
      <c r="K7" s="13"/>
      <c r="L7" s="13"/>
      <c r="M7" s="13"/>
      <c r="N7" s="13"/>
    </row>
    <row r="8" spans="2:16" x14ac:dyDescent="0.3">
      <c r="B8">
        <v>6</v>
      </c>
      <c r="C8" s="13">
        <v>0.35416666666666669</v>
      </c>
      <c r="D8" s="13">
        <v>0.37430555555555556</v>
      </c>
      <c r="E8" s="13">
        <f t="shared" si="0"/>
        <v>2.0138888888888873E-2</v>
      </c>
      <c r="G8" s="14"/>
    </row>
    <row r="9" spans="2:16" x14ac:dyDescent="0.3">
      <c r="B9">
        <v>7</v>
      </c>
      <c r="C9" s="13">
        <v>0.375</v>
      </c>
      <c r="D9" s="13">
        <v>0.39513888888888887</v>
      </c>
      <c r="E9" s="13">
        <f t="shared" si="0"/>
        <v>2.0138888888888873E-2</v>
      </c>
      <c r="G9" s="14"/>
    </row>
    <row r="10" spans="2:16" x14ac:dyDescent="0.3">
      <c r="B10">
        <v>8</v>
      </c>
      <c r="C10" s="13">
        <v>0.40625</v>
      </c>
      <c r="D10" s="13">
        <v>0.42638888888888887</v>
      </c>
      <c r="E10" s="13">
        <f t="shared" si="0"/>
        <v>2.0138888888888873E-2</v>
      </c>
      <c r="G10" s="14"/>
    </row>
    <row r="11" spans="2:16" x14ac:dyDescent="0.3">
      <c r="B11">
        <v>9</v>
      </c>
      <c r="C11" s="13">
        <v>0.4375</v>
      </c>
      <c r="D11" s="13">
        <v>0.45763888888888887</v>
      </c>
      <c r="E11" s="13">
        <f t="shared" si="0"/>
        <v>2.0138888888888873E-2</v>
      </c>
      <c r="G11" s="14"/>
    </row>
    <row r="12" spans="2:16" x14ac:dyDescent="0.3">
      <c r="B12">
        <v>10</v>
      </c>
      <c r="C12" s="13">
        <v>0.46875</v>
      </c>
      <c r="D12" s="13">
        <v>0.48888888888888887</v>
      </c>
      <c r="E12" s="13">
        <f t="shared" si="0"/>
        <v>2.0138888888888873E-2</v>
      </c>
      <c r="G12" s="13"/>
      <c r="H12" s="13"/>
      <c r="I12" s="13"/>
      <c r="J12" s="13"/>
      <c r="K12" s="13"/>
      <c r="L12" s="13"/>
      <c r="M12" s="13"/>
    </row>
    <row r="13" spans="2:16" x14ac:dyDescent="0.3">
      <c r="B13">
        <v>11</v>
      </c>
      <c r="C13" s="13">
        <v>0.5</v>
      </c>
      <c r="D13" s="13">
        <v>0.52013888888888893</v>
      </c>
      <c r="E13" s="13">
        <f t="shared" si="0"/>
        <v>2.0138888888888928E-2</v>
      </c>
      <c r="G13" s="14"/>
    </row>
    <row r="14" spans="2:16" x14ac:dyDescent="0.3">
      <c r="B14">
        <v>12</v>
      </c>
      <c r="C14" s="13">
        <v>0.53125</v>
      </c>
      <c r="D14" s="13">
        <v>0.55138888888888893</v>
      </c>
      <c r="E14" s="13">
        <f t="shared" si="0"/>
        <v>2.0138888888888928E-2</v>
      </c>
      <c r="G14" s="14"/>
    </row>
    <row r="15" spans="2:16" x14ac:dyDescent="0.3">
      <c r="B15">
        <v>13</v>
      </c>
      <c r="C15" s="13">
        <v>0.5625</v>
      </c>
      <c r="D15" s="13">
        <v>0.58263888888888893</v>
      </c>
      <c r="E15" s="13">
        <f t="shared" si="0"/>
        <v>2.0138888888888928E-2</v>
      </c>
      <c r="G15" s="14"/>
    </row>
    <row r="16" spans="2:16" x14ac:dyDescent="0.3">
      <c r="B16">
        <v>14</v>
      </c>
      <c r="C16" s="13">
        <v>0.59375</v>
      </c>
      <c r="D16" s="13">
        <v>0.61388888888888893</v>
      </c>
      <c r="E16" s="13">
        <f t="shared" si="0"/>
        <v>2.0138888888888928E-2</v>
      </c>
    </row>
    <row r="17" spans="2:15" x14ac:dyDescent="0.3">
      <c r="B17">
        <v>15</v>
      </c>
      <c r="C17" s="13">
        <v>0.625</v>
      </c>
      <c r="D17" s="13">
        <v>0.64513888888888893</v>
      </c>
      <c r="E17" s="13">
        <f t="shared" si="0"/>
        <v>2.0138888888888928E-2</v>
      </c>
    </row>
    <row r="18" spans="2:15" x14ac:dyDescent="0.3">
      <c r="B18">
        <v>16</v>
      </c>
      <c r="C18" s="13">
        <v>0.65625</v>
      </c>
      <c r="D18" s="15">
        <v>0.67638888888888893</v>
      </c>
      <c r="E18" s="13">
        <f t="shared" si="0"/>
        <v>2.0138888888888928E-2</v>
      </c>
    </row>
    <row r="19" spans="2:15" x14ac:dyDescent="0.3">
      <c r="B19">
        <v>17</v>
      </c>
      <c r="C19" s="15">
        <v>0.6875</v>
      </c>
      <c r="D19" s="15">
        <v>0.70763888888888893</v>
      </c>
      <c r="E19" s="13">
        <f t="shared" si="0"/>
        <v>2.0138888888888928E-2</v>
      </c>
    </row>
    <row r="20" spans="2:15" x14ac:dyDescent="0.3">
      <c r="B20">
        <v>18</v>
      </c>
      <c r="C20" s="13">
        <v>0.70833333333333337</v>
      </c>
      <c r="D20" s="13">
        <v>0.72847222222222219</v>
      </c>
      <c r="E20" s="13">
        <f t="shared" si="0"/>
        <v>2.0138888888888817E-2</v>
      </c>
    </row>
    <row r="21" spans="2:15" x14ac:dyDescent="0.3">
      <c r="B21">
        <v>19</v>
      </c>
      <c r="C21" s="13">
        <v>0.72916666666666663</v>
      </c>
      <c r="D21" s="13">
        <v>0.74930555555555556</v>
      </c>
      <c r="E21" s="13">
        <f t="shared" si="0"/>
        <v>2.0138888888888928E-2</v>
      </c>
    </row>
    <row r="22" spans="2:15" x14ac:dyDescent="0.3">
      <c r="B22">
        <v>20</v>
      </c>
      <c r="C22" s="13">
        <v>0.75</v>
      </c>
      <c r="D22" s="13">
        <v>0.77013888888888893</v>
      </c>
      <c r="E22" s="13">
        <f t="shared" si="0"/>
        <v>2.0138888888888928E-2</v>
      </c>
      <c r="F22" s="13"/>
      <c r="H22" s="13"/>
      <c r="I22" s="13"/>
    </row>
    <row r="23" spans="2:15" x14ac:dyDescent="0.3">
      <c r="B23">
        <v>21</v>
      </c>
      <c r="C23" s="13">
        <v>0.77083333333333337</v>
      </c>
      <c r="D23" s="13">
        <v>0.79097222222222219</v>
      </c>
      <c r="E23" s="13">
        <f t="shared" si="0"/>
        <v>2.0138888888888817E-2</v>
      </c>
      <c r="F23" s="13"/>
      <c r="H23" s="13"/>
      <c r="I23" s="13"/>
    </row>
    <row r="24" spans="2:15" x14ac:dyDescent="0.3">
      <c r="B24">
        <v>22</v>
      </c>
      <c r="C24" s="13">
        <v>0.79166666666666663</v>
      </c>
      <c r="D24" s="13">
        <v>0.81180555555555556</v>
      </c>
      <c r="E24" s="13">
        <f t="shared" si="0"/>
        <v>2.0138888888888928E-2</v>
      </c>
      <c r="F24" s="13"/>
      <c r="H24" s="13"/>
      <c r="I24" s="13"/>
      <c r="J24" s="13"/>
      <c r="K24" s="13"/>
      <c r="L24" s="13"/>
      <c r="M24" s="13"/>
      <c r="N24" s="13"/>
      <c r="O24" s="13"/>
    </row>
    <row r="25" spans="2:15" x14ac:dyDescent="0.3">
      <c r="B25">
        <v>23</v>
      </c>
      <c r="C25" s="13">
        <v>0.8125</v>
      </c>
      <c r="D25" s="13">
        <v>0.83263888888888893</v>
      </c>
      <c r="E25" s="13">
        <f t="shared" si="0"/>
        <v>2.0138888888888928E-2</v>
      </c>
    </row>
    <row r="26" spans="2:15" x14ac:dyDescent="0.3">
      <c r="B26">
        <v>24</v>
      </c>
      <c r="C26" s="13">
        <v>0.83333333333333337</v>
      </c>
      <c r="D26" s="13">
        <v>0.85138888888888886</v>
      </c>
      <c r="E26" s="13">
        <f t="shared" si="0"/>
        <v>1.8055555555555491E-2</v>
      </c>
    </row>
    <row r="27" spans="2:15" x14ac:dyDescent="0.3">
      <c r="B27">
        <v>25</v>
      </c>
      <c r="C27" s="13">
        <v>0.86458333333333337</v>
      </c>
      <c r="D27" s="13">
        <v>0.88263888888888886</v>
      </c>
      <c r="E27" s="13">
        <f t="shared" si="0"/>
        <v>1.8055555555555491E-2</v>
      </c>
    </row>
    <row r="28" spans="2:15" x14ac:dyDescent="0.3">
      <c r="B28">
        <v>26</v>
      </c>
      <c r="C28" s="13">
        <v>0.89583333333333337</v>
      </c>
      <c r="D28" s="13">
        <v>0.91388888888888886</v>
      </c>
      <c r="E28" s="13">
        <f t="shared" si="0"/>
        <v>1.8055555555555491E-2</v>
      </c>
    </row>
    <row r="29" spans="2:15" x14ac:dyDescent="0.3">
      <c r="B29">
        <v>27</v>
      </c>
      <c r="C29" s="13">
        <v>0.9375</v>
      </c>
      <c r="D29" s="13">
        <v>0.9555555555555556</v>
      </c>
      <c r="E29" s="13">
        <f t="shared" si="0"/>
        <v>1.8055555555555602E-2</v>
      </c>
    </row>
    <row r="30" spans="2:15" x14ac:dyDescent="0.3">
      <c r="B30">
        <v>28</v>
      </c>
      <c r="C30" s="13">
        <v>0.97916666666666663</v>
      </c>
      <c r="D30" s="13">
        <v>0.99722222222222223</v>
      </c>
      <c r="E30" s="13">
        <f t="shared" si="0"/>
        <v>1.8055555555555602E-2</v>
      </c>
    </row>
    <row r="31" spans="2:15" x14ac:dyDescent="0.3">
      <c r="C31" s="13"/>
      <c r="D31" s="13"/>
      <c r="E31" s="13"/>
    </row>
    <row r="32" spans="2:15" x14ac:dyDescent="0.3">
      <c r="C32" s="13"/>
      <c r="D32" s="13"/>
      <c r="E32" s="13"/>
    </row>
    <row r="33" spans="3:5" x14ac:dyDescent="0.3">
      <c r="C33" s="13"/>
      <c r="D33" s="13"/>
      <c r="E33" s="13"/>
    </row>
    <row r="34" spans="3:5" x14ac:dyDescent="0.3">
      <c r="C34" s="13"/>
      <c r="D34" s="13"/>
      <c r="E34" s="13"/>
    </row>
    <row r="35" spans="3:5" x14ac:dyDescent="0.3">
      <c r="C35" s="13"/>
      <c r="D35" s="13"/>
      <c r="E35" s="13"/>
    </row>
    <row r="36" spans="3:5" x14ac:dyDescent="0.3">
      <c r="C36" s="13"/>
      <c r="D36" s="13"/>
      <c r="E36" s="13"/>
    </row>
    <row r="37" spans="3:5" x14ac:dyDescent="0.3">
      <c r="C37" s="13"/>
      <c r="D37" s="13"/>
      <c r="E37" s="13"/>
    </row>
    <row r="38" spans="3:5" x14ac:dyDescent="0.3">
      <c r="C38" s="13"/>
      <c r="D38" s="13"/>
      <c r="E38" s="13"/>
    </row>
    <row r="39" spans="3:5" x14ac:dyDescent="0.3">
      <c r="C39" s="13"/>
      <c r="D39" s="13"/>
      <c r="E39" s="13"/>
    </row>
    <row r="40" spans="3:5" x14ac:dyDescent="0.3">
      <c r="C40" s="13"/>
      <c r="D40" s="13"/>
      <c r="E40" s="13"/>
    </row>
    <row r="41" spans="3:5" x14ac:dyDescent="0.3">
      <c r="C41" s="13"/>
      <c r="D41" s="13"/>
      <c r="E41" s="13"/>
    </row>
    <row r="42" spans="3:5" x14ac:dyDescent="0.3">
      <c r="C42" s="13"/>
      <c r="D42" s="13"/>
      <c r="E42" s="13"/>
    </row>
    <row r="43" spans="3:5" x14ac:dyDescent="0.3">
      <c r="C43" s="13"/>
      <c r="D43" s="13"/>
      <c r="E43" s="13"/>
    </row>
    <row r="44" spans="3:5" x14ac:dyDescent="0.3">
      <c r="C44" s="13"/>
      <c r="D44" s="13"/>
      <c r="E44" s="13"/>
    </row>
    <row r="45" spans="3:5" x14ac:dyDescent="0.3">
      <c r="C45" s="13"/>
      <c r="D45" s="13"/>
      <c r="E45" s="13"/>
    </row>
    <row r="46" spans="3:5" x14ac:dyDescent="0.3">
      <c r="C46" s="13"/>
      <c r="D46" s="13"/>
      <c r="E46" s="13"/>
    </row>
    <row r="47" spans="3:5" x14ac:dyDescent="0.3">
      <c r="C47" s="13"/>
      <c r="D47" s="13"/>
      <c r="E47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F863F-2F90-4257-9E13-F250506EBD72}">
  <sheetPr codeName="Sheet2"/>
  <dimension ref="B2:M19"/>
  <sheetViews>
    <sheetView workbookViewId="0">
      <selection activeCell="Q7" sqref="Q7"/>
    </sheetView>
  </sheetViews>
  <sheetFormatPr defaultRowHeight="14.4" x14ac:dyDescent="0.3"/>
  <cols>
    <col min="3" max="3" width="1.21875" customWidth="1"/>
    <col min="4" max="4" width="1" customWidth="1"/>
    <col min="5" max="5" width="9.77734375" customWidth="1"/>
    <col min="6" max="6" width="19" customWidth="1"/>
    <col min="7" max="7" width="16.21875" customWidth="1"/>
    <col min="8" max="8" width="1" customWidth="1"/>
    <col min="9" max="9" width="1.33203125" customWidth="1"/>
    <col min="11" max="11" width="15.5546875" customWidth="1"/>
    <col min="12" max="12" width="14.109375" customWidth="1"/>
    <col min="13" max="13" width="16.6640625" customWidth="1"/>
  </cols>
  <sheetData>
    <row r="2" spans="2:13" x14ac:dyDescent="0.3">
      <c r="B2" s="1"/>
      <c r="C2" s="1"/>
      <c r="D2" s="1">
        <v>45824.238703703704</v>
      </c>
      <c r="E2" s="1"/>
    </row>
    <row r="6" spans="2:13" x14ac:dyDescent="0.3">
      <c r="C6" s="8"/>
      <c r="D6" s="9"/>
      <c r="E6" s="9" t="s">
        <v>23</v>
      </c>
      <c r="F6" s="9"/>
      <c r="G6" s="10" t="s">
        <v>24</v>
      </c>
      <c r="H6" s="9"/>
      <c r="I6" s="8"/>
    </row>
    <row r="7" spans="2:13" x14ac:dyDescent="0.3">
      <c r="C7" s="8"/>
      <c r="D7" s="2"/>
      <c r="E7" s="3" t="s">
        <v>0</v>
      </c>
      <c r="F7" s="3" t="s">
        <v>4</v>
      </c>
      <c r="G7" s="3" t="s">
        <v>6</v>
      </c>
      <c r="H7" s="2"/>
      <c r="I7" s="8"/>
    </row>
    <row r="8" spans="2:13" x14ac:dyDescent="0.3">
      <c r="C8" s="8"/>
      <c r="D8" s="2"/>
      <c r="E8" s="12" t="s">
        <v>30</v>
      </c>
      <c r="F8" s="12" t="s">
        <v>5</v>
      </c>
      <c r="G8" s="12" t="s">
        <v>7</v>
      </c>
      <c r="H8" s="2"/>
      <c r="I8" s="8"/>
    </row>
    <row r="9" spans="2:13" x14ac:dyDescent="0.3">
      <c r="C9" s="8"/>
      <c r="D9" s="2"/>
      <c r="E9" s="12" t="s">
        <v>1</v>
      </c>
      <c r="F9" s="12" t="s">
        <v>5</v>
      </c>
      <c r="G9" s="12" t="s">
        <v>8</v>
      </c>
      <c r="H9" s="2"/>
      <c r="I9" s="8"/>
    </row>
    <row r="10" spans="2:13" x14ac:dyDescent="0.3">
      <c r="C10" s="8"/>
      <c r="D10" s="2"/>
      <c r="E10" s="12" t="s">
        <v>2</v>
      </c>
      <c r="F10" s="12" t="s">
        <v>5</v>
      </c>
      <c r="G10" s="12" t="s">
        <v>9</v>
      </c>
      <c r="H10" s="2"/>
      <c r="I10" s="8"/>
    </row>
    <row r="11" spans="2:13" ht="6.6" customHeight="1" x14ac:dyDescent="0.3">
      <c r="C11" s="8"/>
      <c r="D11" s="2"/>
      <c r="E11" s="2"/>
      <c r="F11" s="2"/>
      <c r="G11" s="2"/>
      <c r="H11" s="2"/>
      <c r="I11" s="8"/>
    </row>
    <row r="12" spans="2:13" x14ac:dyDescent="0.3">
      <c r="C12" s="8"/>
      <c r="D12" s="9"/>
      <c r="E12" s="9" t="s">
        <v>3</v>
      </c>
      <c r="F12" s="9"/>
      <c r="G12" s="11">
        <v>0.54224537037037035</v>
      </c>
      <c r="H12" s="9"/>
      <c r="I12" s="8"/>
    </row>
    <row r="14" spans="2:13" ht="15" thickBot="1" x14ac:dyDescent="0.35"/>
    <row r="15" spans="2:13" ht="16.2" thickBot="1" x14ac:dyDescent="0.35">
      <c r="K15" s="4" t="s">
        <v>10</v>
      </c>
      <c r="L15" s="5" t="s">
        <v>11</v>
      </c>
      <c r="M15" s="5" t="s">
        <v>12</v>
      </c>
    </row>
    <row r="16" spans="2:13" ht="16.2" thickBot="1" x14ac:dyDescent="0.35">
      <c r="K16" s="6" t="s">
        <v>13</v>
      </c>
      <c r="L16" s="7" t="s">
        <v>14</v>
      </c>
      <c r="M16" s="7" t="s">
        <v>15</v>
      </c>
    </row>
    <row r="17" spans="11:13" ht="16.2" thickBot="1" x14ac:dyDescent="0.35">
      <c r="K17" s="6" t="s">
        <v>13</v>
      </c>
      <c r="L17" s="7" t="s">
        <v>16</v>
      </c>
      <c r="M17" s="7" t="s">
        <v>17</v>
      </c>
    </row>
    <row r="18" spans="11:13" ht="16.2" thickBot="1" x14ac:dyDescent="0.35">
      <c r="K18" s="6" t="s">
        <v>13</v>
      </c>
      <c r="L18" s="7" t="s">
        <v>18</v>
      </c>
      <c r="M18" s="7" t="s">
        <v>19</v>
      </c>
    </row>
    <row r="19" spans="11:13" ht="16.2" thickBot="1" x14ac:dyDescent="0.35">
      <c r="K19" s="6" t="s">
        <v>20</v>
      </c>
      <c r="L19" s="7" t="s">
        <v>21</v>
      </c>
      <c r="M19" s="7" t="s">
        <v>22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557C8-1EA2-4D5A-9E52-786F1F52E5C9}">
  <sheetPr codeName="Sheet6"/>
  <dimension ref="B2:L19"/>
  <sheetViews>
    <sheetView workbookViewId="0">
      <selection activeCell="J19" sqref="J19"/>
    </sheetView>
  </sheetViews>
  <sheetFormatPr defaultRowHeight="14.4" x14ac:dyDescent="0.3"/>
  <cols>
    <col min="2" max="3" width="0.88671875" customWidth="1"/>
    <col min="4" max="4" width="15.21875" customWidth="1"/>
    <col min="5" max="5" width="56.109375" customWidth="1"/>
    <col min="6" max="6" width="17.88671875" customWidth="1"/>
    <col min="7" max="8" width="0.88671875" customWidth="1"/>
    <col min="10" max="10" width="15.5546875" customWidth="1"/>
    <col min="11" max="11" width="14.109375" customWidth="1"/>
    <col min="12" max="12" width="16.6640625" customWidth="1"/>
  </cols>
  <sheetData>
    <row r="2" spans="2:12" x14ac:dyDescent="0.3">
      <c r="D2" t="s">
        <v>79</v>
      </c>
    </row>
    <row r="4" spans="2:12" ht="21" x14ac:dyDescent="0.4">
      <c r="B4" s="8"/>
      <c r="C4" s="9"/>
      <c r="D4" s="22" t="s">
        <v>81</v>
      </c>
      <c r="E4" s="22"/>
      <c r="F4" s="23" t="s">
        <v>82</v>
      </c>
      <c r="G4" s="9"/>
      <c r="H4" s="8"/>
    </row>
    <row r="5" spans="2:12" ht="4.95" customHeight="1" x14ac:dyDescent="0.4">
      <c r="B5" s="8"/>
      <c r="C5" s="9"/>
      <c r="D5" s="22"/>
      <c r="E5" s="22"/>
      <c r="F5" s="23"/>
      <c r="G5" s="9"/>
      <c r="H5" s="8"/>
    </row>
    <row r="6" spans="2:12" ht="21" x14ac:dyDescent="0.4">
      <c r="B6" s="8"/>
      <c r="C6" s="2"/>
      <c r="D6" s="28" t="s">
        <v>0</v>
      </c>
      <c r="E6" s="24" t="s">
        <v>4</v>
      </c>
      <c r="F6" s="28" t="s">
        <v>6</v>
      </c>
      <c r="G6" s="2"/>
      <c r="H6" s="8"/>
    </row>
    <row r="7" spans="2:12" ht="21" x14ac:dyDescent="0.4">
      <c r="B7" s="8"/>
      <c r="C7" s="2"/>
      <c r="D7" s="30" t="s">
        <v>30</v>
      </c>
      <c r="E7" s="25" t="s">
        <v>5</v>
      </c>
      <c r="F7" s="29" t="s">
        <v>85</v>
      </c>
      <c r="G7" s="2"/>
      <c r="H7" s="8"/>
    </row>
    <row r="8" spans="2:12" ht="21" x14ac:dyDescent="0.4">
      <c r="B8" s="8"/>
      <c r="C8" s="2"/>
      <c r="D8" s="30" t="s">
        <v>1</v>
      </c>
      <c r="E8" s="25" t="s">
        <v>5</v>
      </c>
      <c r="F8" s="29" t="s">
        <v>86</v>
      </c>
      <c r="G8" s="2"/>
      <c r="H8" s="8"/>
    </row>
    <row r="9" spans="2:12" ht="21" x14ac:dyDescent="0.4">
      <c r="B9" s="8"/>
      <c r="C9" s="2"/>
      <c r="D9" s="30" t="s">
        <v>2</v>
      </c>
      <c r="E9" s="25" t="s">
        <v>5</v>
      </c>
      <c r="F9" s="29" t="s">
        <v>87</v>
      </c>
      <c r="G9" s="2"/>
      <c r="H9" s="8"/>
    </row>
    <row r="10" spans="2:12" ht="4.95" customHeight="1" x14ac:dyDescent="0.4">
      <c r="B10" s="8"/>
      <c r="C10" s="2"/>
      <c r="D10" s="26"/>
      <c r="E10" s="26"/>
      <c r="F10" s="26"/>
      <c r="G10" s="2"/>
      <c r="H10" s="8"/>
    </row>
    <row r="11" spans="2:12" ht="4.95" customHeight="1" x14ac:dyDescent="0.4">
      <c r="B11" s="8"/>
      <c r="C11" s="8"/>
      <c r="D11" s="31"/>
      <c r="E11" s="31"/>
      <c r="F11" s="31"/>
      <c r="G11" s="8"/>
      <c r="H11" s="8"/>
    </row>
    <row r="12" spans="2:12" ht="21" x14ac:dyDescent="0.4">
      <c r="B12" s="8"/>
      <c r="C12" s="9"/>
      <c r="D12" s="32" t="str">
        <f>UPPER(TEXT('v1'!B2,"dd mmm yyyy (ddd)"))</f>
        <v>25 JUN 2025 (WED)</v>
      </c>
      <c r="E12" s="32"/>
      <c r="F12" s="27">
        <v>0.39094907407407409</v>
      </c>
      <c r="G12" s="9"/>
      <c r="H12" s="8"/>
    </row>
    <row r="15" spans="2:12" ht="15.6" x14ac:dyDescent="0.3">
      <c r="J15" s="20"/>
      <c r="K15" s="20"/>
      <c r="L15" s="20"/>
    </row>
    <row r="16" spans="2:12" ht="15.6" x14ac:dyDescent="0.3">
      <c r="D16" s="17" t="s">
        <v>84</v>
      </c>
      <c r="J16" s="21"/>
      <c r="K16" s="21"/>
      <c r="L16" s="21"/>
    </row>
    <row r="17" spans="10:12" ht="15.6" x14ac:dyDescent="0.3">
      <c r="J17" s="21"/>
      <c r="K17" s="21"/>
      <c r="L17" s="21"/>
    </row>
    <row r="18" spans="10:12" ht="15.6" x14ac:dyDescent="0.3">
      <c r="J18" s="21"/>
      <c r="K18" s="21"/>
      <c r="L18" s="21"/>
    </row>
    <row r="19" spans="10:12" ht="15.6" x14ac:dyDescent="0.3">
      <c r="J19" s="21"/>
      <c r="K19" s="21"/>
      <c r="L19" s="21"/>
    </row>
  </sheetData>
  <mergeCells count="1">
    <mergeCell ref="D12:E1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Prototype_Weekday</vt:lpstr>
      <vt:lpstr>v1</vt:lpstr>
      <vt:lpstr>MMU Mon - Fri</vt:lpstr>
      <vt:lpstr>MMU Sat - Sun</vt:lpstr>
      <vt:lpstr>Design</vt:lpstr>
      <vt:lpstr>Design_v2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WONG DE QUAN</cp:lastModifiedBy>
  <dcterms:created xsi:type="dcterms:W3CDTF">2015-06-05T18:17:20Z</dcterms:created>
  <dcterms:modified xsi:type="dcterms:W3CDTF">2025-06-24T19:53:09Z</dcterms:modified>
</cp:coreProperties>
</file>